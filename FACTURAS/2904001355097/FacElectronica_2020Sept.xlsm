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60" windowWidth="20400" windowHeight="7590" activeTab="1"/>
  </bookViews>
  <sheets>
    <sheet name="Worksheet" sheetId="1" r:id="rId1"/>
    <sheet name="fe_2020SEPTIEMBRE" sheetId="2" r:id="rId2"/>
  </sheets>
  <functionGroups builtInGroupCount="17"/>
  <calcPr calcId="144525" forceFullCalc="1"/>
</workbook>
</file>

<file path=xl/calcChain.xml><?xml version="1.0" encoding="utf-8"?>
<calcChain xmlns="http://schemas.openxmlformats.org/spreadsheetml/2006/main">
  <c r="Q2" i="2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5" i="1"/>
  <c r="M6" i="1"/>
  <c r="M8" i="1"/>
  <c r="M10" i="1"/>
  <c r="M12" i="1"/>
  <c r="M14" i="1"/>
  <c r="M16" i="1"/>
  <c r="M18" i="1"/>
  <c r="M20" i="1"/>
  <c r="M22" i="1"/>
  <c r="M24" i="1"/>
  <c r="M26" i="1"/>
  <c r="M28" i="1"/>
  <c r="M30" i="1"/>
  <c r="M32" i="1"/>
  <c r="M34" i="1"/>
  <c r="M36" i="1"/>
  <c r="M38" i="1"/>
  <c r="M40" i="1"/>
  <c r="M42" i="1"/>
  <c r="M44" i="1"/>
  <c r="M7" i="1"/>
  <c r="M9" i="1"/>
  <c r="M11" i="1"/>
  <c r="M13" i="1"/>
  <c r="M15" i="1"/>
  <c r="M17" i="1"/>
  <c r="M19" i="1"/>
  <c r="M21" i="1"/>
  <c r="M23" i="1"/>
  <c r="M25" i="1"/>
  <c r="M27" i="1"/>
  <c r="M29" i="1"/>
  <c r="M31" i="1"/>
  <c r="M33" i="1"/>
  <c r="M35" i="1"/>
  <c r="M37" i="1"/>
  <c r="M39" i="1"/>
  <c r="M41" i="1"/>
  <c r="M43" i="1"/>
  <c r="P6" i="1" l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5" i="1"/>
  <c r="M5" i="1"/>
  <c r="O2" i="2"/>
  <c r="Q6" i="1"/>
  <c r="Q38" i="1"/>
  <c r="Q15" i="1"/>
  <c r="Q37" i="1"/>
  <c r="Q36" i="1"/>
  <c r="W5" i="1"/>
  <c r="Q39" i="1"/>
  <c r="Q10" i="1"/>
  <c r="Q42" i="1"/>
  <c r="Q19" i="1"/>
  <c r="Q8" i="1"/>
  <c r="Q40" i="1"/>
  <c r="V5" i="1"/>
  <c r="Q23" i="1"/>
  <c r="U5" i="1"/>
  <c r="Q18" i="1"/>
  <c r="Q17" i="1"/>
  <c r="Q27" i="1"/>
  <c r="Q16" i="1"/>
  <c r="Q13" i="1"/>
  <c r="Q7" i="1"/>
  <c r="Q44" i="1"/>
  <c r="Q22" i="1"/>
  <c r="Q21" i="1"/>
  <c r="Q31" i="1"/>
  <c r="Q20" i="1"/>
  <c r="Q25" i="1"/>
  <c r="Q30" i="1"/>
  <c r="Q41" i="1"/>
  <c r="Q26" i="1"/>
  <c r="Q29" i="1"/>
  <c r="Q35" i="1"/>
  <c r="Q24" i="1"/>
  <c r="Q33" i="1"/>
  <c r="Q9" i="1"/>
  <c r="Q28" i="1"/>
  <c r="Q14" i="1"/>
  <c r="Q34" i="1"/>
  <c r="Q11" i="1"/>
  <c r="Q43" i="1"/>
  <c r="Q32" i="1"/>
  <c r="Q5" i="1"/>
  <c r="Q12" i="1"/>
  <c r="T5" i="1"/>
</calcChain>
</file>

<file path=xl/sharedStrings.xml><?xml version="1.0" encoding="utf-8"?>
<sst xmlns="http://schemas.openxmlformats.org/spreadsheetml/2006/main" count="963" uniqueCount="242">
  <si>
    <t>Transacciones totales : 40</t>
  </si>
  <si>
    <t>Monto total de la transacción : 49,393.00 Bs.</t>
  </si>
  <si>
    <t>Factura</t>
  </si>
  <si>
    <t>Fecha de emisión de la factura</t>
  </si>
  <si>
    <t>Número de Factura</t>
  </si>
  <si>
    <t>Nombre / Nombre de compañía</t>
  </si>
  <si>
    <t>Producto / Servicio</t>
  </si>
  <si>
    <t>Tipo de factura</t>
  </si>
  <si>
    <t>Status de Pago</t>
  </si>
  <si>
    <t>Fecha de vencimiento</t>
  </si>
  <si>
    <t>Moneda</t>
  </si>
  <si>
    <t>Tipo de cambio</t>
  </si>
  <si>
    <t>Cantidad total</t>
  </si>
  <si>
    <t>Notas</t>
  </si>
  <si>
    <t>Campos personalizados del producto</t>
  </si>
  <si>
    <t>Campos personalizados del cliente</t>
  </si>
  <si>
    <t>INV_1378</t>
  </si>
  <si>
    <t>2020-09-02</t>
  </si>
  <si>
    <t>771-0f673c43-edfa-4774-b6d7-177851828f3a</t>
  </si>
  <si>
    <t>VENTURA</t>
  </si>
  <si>
    <t>PAGO ANUAL DE JUNIO 2020 A MAYO 2021 (otro)</t>
  </si>
  <si>
    <t>Facturado</t>
  </si>
  <si>
    <t>No pagado</t>
  </si>
  <si>
    <t>2020-09-07</t>
  </si>
  <si>
    <t>BS</t>
  </si>
  <si>
    <t>3360.000 Bs.</t>
  </si>
  <si>
    <t>R - 100:CODIGO CLIENTE: 1132 - EDIFICIO: VENTURA R - 101:CODIGO CLIENTE: 1132 - EDIFICIO: VENTURA</t>
  </si>
  <si>
    <t>INV_1357</t>
  </si>
  <si>
    <t>769-f11cdb25-b003-460e-9c2d-652a104fc108</t>
  </si>
  <si>
    <t>PENIEL</t>
  </si>
  <si>
    <t>Servicio de Mantenimiento Agosto 2020 (otro)</t>
  </si>
  <si>
    <t>2020-09-03</t>
  </si>
  <si>
    <t>700.000 Bs.</t>
  </si>
  <si>
    <t>R - 100:CODIGO CLIENTE: 10027 - EDIFICIO: PENIEL R - 101:CODIGO CLIENTE: 10027 - EDIFICIO: PENIEL</t>
  </si>
  <si>
    <t>INV_1356</t>
  </si>
  <si>
    <t>770-7e52e8ea-c4e1-443b-923c-1e39944ddbaa</t>
  </si>
  <si>
    <t>Servicio de Mantenimiento Julio 2020 (otro)</t>
  </si>
  <si>
    <t>INV_1355</t>
  </si>
  <si>
    <t>768-993aa6ee-19fa-4371-b325-c8583cedac58</t>
  </si>
  <si>
    <t>TORRE ALFA</t>
  </si>
  <si>
    <t>2020-09-20</t>
  </si>
  <si>
    <t>610.000 Bs.</t>
  </si>
  <si>
    <t>R - 100:CODIGO CLIENTE 1407: EDIFICIO TORRE ALFA R - 101:CODIGO CLIENTE 1407: EDIFICIO TORRE ALFA</t>
  </si>
  <si>
    <t>INV_1353</t>
  </si>
  <si>
    <t>767-36062a84-6113-4f7a-b21d-0ea39fffcbdc</t>
  </si>
  <si>
    <t>PALMAS</t>
  </si>
  <si>
    <t>Panel de Control (pza), Lector de Tarjeta RFID de corto alcance (pza), Expansora de Pisos para control de Ascensores (pza), Servicio de Mano de Obra (otro)</t>
  </si>
  <si>
    <t>2020-09-30</t>
  </si>
  <si>
    <t>9486.000 Bs.</t>
  </si>
  <si>
    <t>R-100:CODIGO CLIENTE : 1013 - EDIFICIO LAS PALMAS R-101:CODIGO CLIENTE : 1013 - EDIFICIO LAS PALMAS</t>
  </si>
  <si>
    <t>INV_1352</t>
  </si>
  <si>
    <t>766-62d0476a-f601-4df9-987e-c38193ac93b2</t>
  </si>
  <si>
    <t>OPHIR</t>
  </si>
  <si>
    <t>1300.000 Bs.</t>
  </si>
  <si>
    <t>R - 100:CODIGO CLIENTE: 1585 - EDIFICIO: OPHIR R - 101:CODIGO CLIENTE: 1585 - EDIFICIO: OPHIR</t>
  </si>
  <si>
    <t>INV_1351</t>
  </si>
  <si>
    <t>765-4bb79552-c30c-4566-919d-d70c7e0006d2</t>
  </si>
  <si>
    <t>Tarjeta Magnética (pza)</t>
  </si>
  <si>
    <t>1800.000 Bs.</t>
  </si>
  <si>
    <t>INV_1350</t>
  </si>
  <si>
    <t>764-fe793491-3576-43de-90b0-dcef51ac8e1f</t>
  </si>
  <si>
    <t>MONTERREY</t>
  </si>
  <si>
    <t>1000.000 Bs.</t>
  </si>
  <si>
    <t>R-100:CODIGO CLIENTE: 1433 - EDIFICIO MONTERREY R-101:CODIGO CLIENTE: 1433 - EDIFICIO MONTERREY</t>
  </si>
  <si>
    <t>INV_1348</t>
  </si>
  <si>
    <t>763-ad7e5801-9d55-49fa-90ae-5342a609ffa1</t>
  </si>
  <si>
    <t>MAGLIA</t>
  </si>
  <si>
    <t>R - 100:CODIGO CLIENTE: 1579 - EDIFICIO: MAGLIA R - 101:CODIGO CLIENTE: 1579 - EDIFICIO: MAGLIA</t>
  </si>
  <si>
    <t>INV_1346</t>
  </si>
  <si>
    <t>762-c9c8d6ca-c9e0-44f6-b444-3b1219259f5c</t>
  </si>
  <si>
    <t>INV_1344</t>
  </si>
  <si>
    <t>761-9642cc9f-51dd-477f-8987-0c6cc39142a7</t>
  </si>
  <si>
    <t>CRISTINA</t>
  </si>
  <si>
    <t>2020-09-05</t>
  </si>
  <si>
    <t>560.000 Bs.</t>
  </si>
  <si>
    <t>R - 100:CODIGO CLIENTE: 1763 - EDIFICIO: CRISTINA R - 101:CODIGO CLIENTE: 1763 - EDIFICIO: CRISTINA</t>
  </si>
  <si>
    <t>INV_1308</t>
  </si>
  <si>
    <t>758-e933f46b-727e-402b-aeeb-357bcbfd40b4</t>
  </si>
  <si>
    <t>INV_1300</t>
  </si>
  <si>
    <t>755-911f8c8e-6137-4bac-8af1-0d3531269e11</t>
  </si>
  <si>
    <t>VENECIA</t>
  </si>
  <si>
    <t>2020-10-02</t>
  </si>
  <si>
    <t>1528.000 Bs.</t>
  </si>
  <si>
    <t>R-100:CODIGO CLIENTE : 1394 - EDIFICIO VENECIA R-101:CODIGO CLIENTE : 1394 - EDIFICIO VENECIA</t>
  </si>
  <si>
    <t>INV_1296</t>
  </si>
  <si>
    <t>2020-09-01</t>
  </si>
  <si>
    <t>753-06be9cd4-6590-47a3-b080-19a078a502fb</t>
  </si>
  <si>
    <t>INV_1278</t>
  </si>
  <si>
    <t>751-62c04eaa-e7ef-4f69-af68-e6a22648fad7</t>
  </si>
  <si>
    <t>EL FARO</t>
  </si>
  <si>
    <t>2020-09-10</t>
  </si>
  <si>
    <t>R-100:CODIGO CLIENTE: 4019 - EDIFICIO: EL FARO R-101:CODIGO CLIENTE: 4019 - EDIFICIO: EL FARO</t>
  </si>
  <si>
    <t>INV_1277</t>
  </si>
  <si>
    <t>748-55ccd56e-5751-4f64-8068-4d1a7e0de994</t>
  </si>
  <si>
    <t>MILENIO</t>
  </si>
  <si>
    <t>400.000 Bs.</t>
  </si>
  <si>
    <t>R-100:CODIGO CLIENTE :1197 - EDIFICIO MILENIO R-101:CODIGO CLIENTE :1197 - EDIFICIO MILENIO</t>
  </si>
  <si>
    <t>INV_1276</t>
  </si>
  <si>
    <t>745-ebc63717-eb75-44a0-9585-3edc44f71986</t>
  </si>
  <si>
    <t>TES BIENESTAR</t>
  </si>
  <si>
    <t>550.000 Bs.</t>
  </si>
  <si>
    <t>R-100:CODIGO CLIENTE : 10187 - TES BIENESTAR R-101:CODIGO CLIENTE : 10187 - TES BIENESTAR</t>
  </si>
  <si>
    <t>INV_1275</t>
  </si>
  <si>
    <t>741-bb2aea40-bbd3-400d-a35e-9d0dad909748</t>
  </si>
  <si>
    <t>SOL Y LUNA</t>
  </si>
  <si>
    <t>2020-09-04</t>
  </si>
  <si>
    <t>R - 100:CODIGO CLIENTE: 1375 - EDIFICIO: SOL Y LUNA R - 101:CODIGO CLIENTE: 1375 - EDIFICIO: SOL Y LUNA</t>
  </si>
  <si>
    <t>INV_1274</t>
  </si>
  <si>
    <t>740-5f9fc3d9-6eb1-4677-a039-f4c76c23ecaf</t>
  </si>
  <si>
    <t>INV_1273</t>
  </si>
  <si>
    <t>739-f01a243c-6372-4166-8ce2-78a689f5e6b4</t>
  </si>
  <si>
    <t>COMPANEX</t>
  </si>
  <si>
    <t>720.000 Bs.</t>
  </si>
  <si>
    <t>R-100:CODIGO CLIENTE: 1412 - EDIFICIO: COMPANEX R-101:CODIGO CLIENTE: 1412 - EDIFICIO: COMPANEX</t>
  </si>
  <si>
    <t>INV_1272</t>
  </si>
  <si>
    <t>738-9e8e954d-9c91-42b4-a688-b8b6d7ed1ddf</t>
  </si>
  <si>
    <t>NAPOLIS</t>
  </si>
  <si>
    <t>410.000 Bs.</t>
  </si>
  <si>
    <t>R - 100:CODIGO CLIENTE : _ 1202 - EDIFICIO : NAPOLIS R - 101:CODIGO CLIENTE : _ 1202 - EDIFICIO : NAPOLIS</t>
  </si>
  <si>
    <t>INV_1271</t>
  </si>
  <si>
    <t>737-062ec529-c22a-4b5d-ab6e-927274f2458a</t>
  </si>
  <si>
    <t>CONDOMINIO CLAVELES DEL SUR 2da TERRAZA</t>
  </si>
  <si>
    <t>5130.000 Bs.</t>
  </si>
  <si>
    <t>R - 100:CODIGO CLIENTE: 1988 - EDIFICIO: CONDOMINIO CLAVELES DEL SUR 2da TERRAZA R - 101:CODIGO CLIENTE: 1988 - EDIFICIO: CONDOMINIO CLAVELES DEL SUR 2da TERRAZA</t>
  </si>
  <si>
    <t>INV_1270</t>
  </si>
  <si>
    <t>736-e3ce115b-4f47-47d5-b3af-1d4b685d9144</t>
  </si>
  <si>
    <t>EBENEZER</t>
  </si>
  <si>
    <t>R - 100:CODIGO CLIENTE: 1521 - EDIFICIO: EBENEZER R - 101:CODIGO CLIENTE: 1521 - EDIFICIO: EBENEZER</t>
  </si>
  <si>
    <t>INV_1269</t>
  </si>
  <si>
    <t>735-8210d0ca-15ae-4142-841c-4b4b586ba71d</t>
  </si>
  <si>
    <t>PORTO DI BARI</t>
  </si>
  <si>
    <t>600.000 Bs.</t>
  </si>
  <si>
    <t>R - 100:CODIGO CLIENTE: 1558 - EDIFICIO: PORTO DI BARI R - 101:CODIGO CLIENTE: 1558 - EDIFICIO: PORTO DI BARI</t>
  </si>
  <si>
    <t>INV_1268</t>
  </si>
  <si>
    <t>734-1ade37b8-0209-4453-98d6-ad85383106af</t>
  </si>
  <si>
    <t>COSMOS</t>
  </si>
  <si>
    <t>660.000 Bs.</t>
  </si>
  <si>
    <t>R - 100:CODIGO CLIENTE: 1602 - EDIFICIO: COSMOS R - 101:CODIGO CLIENTE: 1602 - EDIFICIO: COSMOS</t>
  </si>
  <si>
    <t>INV_1267</t>
  </si>
  <si>
    <t>733-c5e9a0ba-6775-47b5-bc13-d2cde2e321cb</t>
  </si>
  <si>
    <t>INV_1265</t>
  </si>
  <si>
    <t>732-8939620e-edea-48a4-8543-2861056a8909</t>
  </si>
  <si>
    <t>MERAPA MICHELLINE</t>
  </si>
  <si>
    <t>500.000 Bs.</t>
  </si>
  <si>
    <t>R - 100:CODIGO CLIENTE : _ 1877 - EDIFICIO : _ MERAPA MICHELLINE R - 101:CODIGO CLIENTE : _ 1877 - EDIFICIO : _ MERAPA MICHELLINE</t>
  </si>
  <si>
    <t>INV_1264</t>
  </si>
  <si>
    <t>731-231dc340-5fa7-4ee2-ae8d-4a79b7f25ea8</t>
  </si>
  <si>
    <t>INV_1261</t>
  </si>
  <si>
    <t>730-72920654-c4fb-4763-89c0-b2255d3e6fbd</t>
  </si>
  <si>
    <t>OBRAJES -SUR</t>
  </si>
  <si>
    <t>Provisión/Instalación de Repuestos (otro)</t>
  </si>
  <si>
    <t>1200.000 Bs.</t>
  </si>
  <si>
    <t>R-100:CODIGO CLIENTE :1238 - TORRE OBRAJES -SUR R-101:CODIGO CLIENTE :1238 - TORRE OBRAJES -SUR</t>
  </si>
  <si>
    <t>INV_1260</t>
  </si>
  <si>
    <t>729-88259f3e-312c-4d6e-a177-c41e9d8f0db7</t>
  </si>
  <si>
    <t>DELCAS</t>
  </si>
  <si>
    <t>R-100:CODIGO CLIENTE: 1803 EDIFICIO DELCAS R-101:CODIGO CLIENTE: 1803 EDIFICIO DELCAS</t>
  </si>
  <si>
    <t>INV_1171</t>
  </si>
  <si>
    <t>754-7366da64-dea4-401f-a5d9-65bb9cf6ce98</t>
  </si>
  <si>
    <t>YPFB TRANSIERRA S.A.</t>
  </si>
  <si>
    <t>R-100 /:Código Cliente: 2076 / Edificio: Transierra R-101 /:Código Cliente: 2076 / Edificio: Transierra</t>
  </si>
  <si>
    <t>INV_1134</t>
  </si>
  <si>
    <t>750-1dd2d857-14c0-4ee1-a4c8-ac987525b1b5</t>
  </si>
  <si>
    <t>INV_1102</t>
  </si>
  <si>
    <t>746-255e9d95-d3de-4841-883b-6c637303518e</t>
  </si>
  <si>
    <t>WALTER CONDORI</t>
  </si>
  <si>
    <t>R-100 /:Codigo Cliente: 2095 / Nombre del Edificio: WALTER CONDORI R-101 /:Codigo Cliente: 2095 / Nombre del Edificio: WALTER CONDORI</t>
  </si>
  <si>
    <t>INV_1101</t>
  </si>
  <si>
    <t>747-2e5863ab-e377-4338-8132-07f3c3b89f5e</t>
  </si>
  <si>
    <t>JULIANA LARICO</t>
  </si>
  <si>
    <t>R-100 /:Codigo Cliente: 2340 / Nombre del Edificio: JULIANA LARICO R-101 /:Codigo Cliente: 2340 / Nombre del Edificio: JULIANA LARICO</t>
  </si>
  <si>
    <t>INV_1085</t>
  </si>
  <si>
    <t>744-14652e6c-004e-417d-bafb-d6dd7ace1f14</t>
  </si>
  <si>
    <t>CAJA PETROLERA DE SALUD</t>
  </si>
  <si>
    <t>2020-09-25</t>
  </si>
  <si>
    <t>2569.000 Bs.</t>
  </si>
  <si>
    <t>R-100:CODIGO CLIENTE: 3100 - EDIF: CAJA PETROLERA DE SALUD R-101:CODIGO CLIENTE: 3100 - EDIF: CAJA PETROLERA DE SALUD</t>
  </si>
  <si>
    <t>INV_1057</t>
  </si>
  <si>
    <t>749-bc7147db-be23-4047-9e63-c4cc82bfe8db</t>
  </si>
  <si>
    <t>Servicio de Mantenimiento Junio 2020 (otro)</t>
  </si>
  <si>
    <t>INV_1053</t>
  </si>
  <si>
    <t>757-7693fd48-4b33-4e13-b1ce-39bb35ad2b5e</t>
  </si>
  <si>
    <t>CONDOMINIO RECOLETA</t>
  </si>
  <si>
    <t>2020-09-24</t>
  </si>
  <si>
    <t>1995.000 Bs.</t>
  </si>
  <si>
    <t>R-100:CODIGO CLIENTE: 3055 - EDIF: CONDOMINIO RECOLETA R-101:CODIGO CLIENTE: 3055 - EDIF: CONDOMINIO RECOLETA</t>
  </si>
  <si>
    <t>INV_939</t>
  </si>
  <si>
    <t>756-a0f5883c-4d25-44f4-9a43-91c06b48019a</t>
  </si>
  <si>
    <t>TAURO</t>
  </si>
  <si>
    <t>2020-09-18</t>
  </si>
  <si>
    <t>740.000 Bs.</t>
  </si>
  <si>
    <t>R-100:CODIGO CLIENTE: 3036 - EDIF: TAURO R-101:CODIGO CLIENTE: 3036 - EDIF: TAURO</t>
  </si>
  <si>
    <t>INV_906</t>
  </si>
  <si>
    <t>752-394fe4cc-5a52-4faf-b598-037057c8a5bc</t>
  </si>
  <si>
    <t>EMELEC</t>
  </si>
  <si>
    <t>527.000 Bs.</t>
  </si>
  <si>
    <t>R-100:CODIGO CLIENTE: 3129 - EDIF: EMELEC R-101:CODIGO CLIENTE: 3129 - EDIF: EMELEC</t>
  </si>
  <si>
    <t>INV_844</t>
  </si>
  <si>
    <t>743-7459ed28-b770-4c1b-85f4-aa9b572fdbc8</t>
  </si>
  <si>
    <t>YAMASHIRO</t>
  </si>
  <si>
    <t>R-100 /:Codigo Cliente: 2217 / Nombre del Edificio: YAMASHIRO R-101 /:Codigo Cliente: 2217 / Nombre del Edificio: YAMASHIRO</t>
  </si>
  <si>
    <t>Fecha_Factura</t>
  </si>
  <si>
    <t>Numero_Factura</t>
  </si>
  <si>
    <t>Glosa</t>
  </si>
  <si>
    <t>codigo_cobranza</t>
  </si>
  <si>
    <t>nro_factura</t>
  </si>
  <si>
    <t>=--UNIRCADENAS("",1,SI.ERROR(--EXTRAE(N5,FILA(INDIRECTO("1:"&amp;LARGO(N5))),1),""))</t>
  </si>
  <si>
    <t>{=--UNIRCADENAS("";1;SI.ERROR(--EXTRAE(N5;FILA(INDIRECTO("1:"&amp;LARGO(N5)));1);""))}</t>
  </si>
  <si>
    <t>edif_codigo</t>
  </si>
  <si>
    <t>1132</t>
  </si>
  <si>
    <t>10027</t>
  </si>
  <si>
    <t>1407</t>
  </si>
  <si>
    <t>1013</t>
  </si>
  <si>
    <t>1585</t>
  </si>
  <si>
    <t>1433</t>
  </si>
  <si>
    <t>1579</t>
  </si>
  <si>
    <t>1763</t>
  </si>
  <si>
    <t>1394</t>
  </si>
  <si>
    <t>4019</t>
  </si>
  <si>
    <t>1197</t>
  </si>
  <si>
    <t>10187</t>
  </si>
  <si>
    <t>1375</t>
  </si>
  <si>
    <t>1412</t>
  </si>
  <si>
    <t>1202</t>
  </si>
  <si>
    <t>1988</t>
  </si>
  <si>
    <t>1521</t>
  </si>
  <si>
    <t>1558</t>
  </si>
  <si>
    <t>1602</t>
  </si>
  <si>
    <t>1877</t>
  </si>
  <si>
    <t>1238</t>
  </si>
  <si>
    <t>1803</t>
  </si>
  <si>
    <t>2076</t>
  </si>
  <si>
    <t>2095</t>
  </si>
  <si>
    <t>2340</t>
  </si>
  <si>
    <t>3100</t>
  </si>
  <si>
    <t>3055</t>
  </si>
  <si>
    <t>3036</t>
  </si>
  <si>
    <t>3129</t>
  </si>
  <si>
    <t>2217</t>
  </si>
  <si>
    <t>gestion</t>
  </si>
  <si>
    <t>mes</t>
  </si>
  <si>
    <t>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</si>
</sst>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rgb="FF000000"/>
      <name val="Calibri"/>
    </font>
    <font>
      <b/>
      <sz val="11"/>
      <color rgb="FF000000"/>
      <name val="Calibri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/>
    <xf numFmtId="0" fontId="0" fillId="2" borderId="0" xfId="0" applyFill="1"/>
    <xf numFmtId="0" fontId="0" fillId="0" borderId="0" xfId="0" applyFill="1"/>
    <xf numFmtId="0" fontId="0" fillId="0" borderId="0" xfId="0" quotePrefix="1"/>
    <xf numFmtId="14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W44"/>
  <sheetViews>
    <sheetView topLeftCell="A3" zoomScale="120" zoomScaleNormal="120" workbookViewId="0">
      <selection activeCell="N3" sqref="N1:N1048576"/>
    </sheetView>
  </sheetViews>
  <sheetFormatPr baseColWidth="10" defaultColWidth="9.140625" defaultRowHeight="15" x14ac:dyDescent="0.25"/>
  <cols>
    <col min="1" max="1" width="10.28515625" customWidth="1"/>
    <col min="2" max="2" width="28.140625" bestFit="1" customWidth="1"/>
    <col min="3" max="3" width="42" bestFit="1" customWidth="1"/>
    <col min="4" max="4" width="30" customWidth="1"/>
    <col min="5" max="5" width="139.7109375" bestFit="1" customWidth="1"/>
    <col min="6" max="6" width="14.140625" bestFit="1" customWidth="1"/>
    <col min="7" max="7" width="13.85546875" bestFit="1" customWidth="1"/>
    <col min="8" max="8" width="20.5703125" bestFit="1" customWidth="1"/>
    <col min="11" max="11" width="13.42578125" bestFit="1" customWidth="1"/>
    <col min="12" max="12" width="15.7109375" bestFit="1" customWidth="1"/>
    <col min="13" max="13" width="34" bestFit="1" customWidth="1"/>
    <col min="14" max="14" width="98" customWidth="1"/>
    <col min="15" max="15" width="13.7109375" customWidth="1"/>
    <col min="19" max="19" width="11.85546875" bestFit="1" customWidth="1"/>
    <col min="21" max="21" width="11.85546875" bestFit="1" customWidth="1"/>
    <col min="22" max="22" width="78.140625" bestFit="1" customWidth="1"/>
  </cols>
  <sheetData>
    <row r="1" spans="1:23" x14ac:dyDescent="0.25">
      <c r="A1" s="1" t="s">
        <v>0</v>
      </c>
    </row>
    <row r="2" spans="1:23" x14ac:dyDescent="0.25">
      <c r="A2" s="1" t="s">
        <v>1</v>
      </c>
    </row>
    <row r="3" spans="1:23" x14ac:dyDescent="0.25">
      <c r="B3" t="s">
        <v>201</v>
      </c>
      <c r="C3" t="s">
        <v>202</v>
      </c>
      <c r="E3" t="s">
        <v>203</v>
      </c>
      <c r="L3" t="s">
        <v>204</v>
      </c>
    </row>
    <row r="4" spans="1:23" x14ac:dyDescent="0.25">
      <c r="A4" s="4" t="s">
        <v>2</v>
      </c>
      <c r="B4" s="3" t="s">
        <v>3</v>
      </c>
      <c r="C4" s="3" t="s">
        <v>4</v>
      </c>
      <c r="D4" t="s">
        <v>5</v>
      </c>
      <c r="E4" s="3" t="s">
        <v>6</v>
      </c>
      <c r="F4" t="s">
        <v>7</v>
      </c>
      <c r="G4" t="s">
        <v>8</v>
      </c>
      <c r="H4" t="s">
        <v>9</v>
      </c>
      <c r="I4" t="s">
        <v>10</v>
      </c>
      <c r="J4" t="s">
        <v>11</v>
      </c>
      <c r="K4" t="s">
        <v>12</v>
      </c>
      <c r="L4" s="3" t="s">
        <v>13</v>
      </c>
      <c r="M4" t="s">
        <v>14</v>
      </c>
      <c r="N4" s="3" t="s">
        <v>15</v>
      </c>
      <c r="O4" s="3"/>
      <c r="P4" t="s">
        <v>205</v>
      </c>
      <c r="Q4" s="3" t="s">
        <v>208</v>
      </c>
    </row>
    <row r="5" spans="1:23" x14ac:dyDescent="0.25">
      <c r="A5" s="2" t="s">
        <v>16</v>
      </c>
      <c r="B5" s="2" t="s">
        <v>17</v>
      </c>
      <c r="C5" s="2" t="s">
        <v>18</v>
      </c>
      <c r="D5" s="2" t="s">
        <v>19</v>
      </c>
      <c r="E5" s="2" t="s">
        <v>20</v>
      </c>
      <c r="F5" s="2" t="s">
        <v>21</v>
      </c>
      <c r="G5" s="2" t="s">
        <v>22</v>
      </c>
      <c r="H5" s="2" t="s">
        <v>23</v>
      </c>
      <c r="I5" s="2" t="s">
        <v>24</v>
      </c>
      <c r="J5" s="2">
        <v>6.96</v>
      </c>
      <c r="K5" s="2" t="s">
        <v>25</v>
      </c>
      <c r="L5" s="2">
        <v>52512</v>
      </c>
      <c r="M5" s="2" t="str">
        <f>EXTRAEX(O5,0)</f>
        <v>1132</v>
      </c>
      <c r="N5" s="2" t="s">
        <v>26</v>
      </c>
      <c r="O5" s="2" t="str">
        <f>MID(N5,20,20)</f>
        <v>NTE: 1132 - EDIFICIO</v>
      </c>
      <c r="P5" t="str">
        <f>LEFT(C5,SEARCH("-",C5,1)-1)</f>
        <v>771</v>
      </c>
      <c r="Q5" s="5" t="str">
        <f>EXTRAEX(O5,0)</f>
        <v>1132</v>
      </c>
      <c r="R5" s="5" t="s">
        <v>206</v>
      </c>
      <c r="S5" s="5" t="s">
        <v>207</v>
      </c>
      <c r="T5">
        <f ca="1">UNIRCADENAS("",1,IFERROR(MID(N5,ROW(INDIRECT($1:$30)),1),""))</f>
        <v>0</v>
      </c>
      <c r="U5" t="str">
        <f>EXTRAEX(N5,0)</f>
        <v>10011321011132</v>
      </c>
      <c r="V5" t="str">
        <f>EXTRAEX(N5,1)</f>
        <v>R - :CODIGO CLIENTE:  - EDIFICIO: VENTURA R - :CODIGO CLIENTE:  - EDIFICIO: VENTURA</v>
      </c>
      <c r="W5" t="str">
        <f>EXTRAEX(N5,0)</f>
        <v>10011321011132</v>
      </c>
    </row>
    <row r="6" spans="1:23" x14ac:dyDescent="0.25">
      <c r="A6" s="2" t="s">
        <v>27</v>
      </c>
      <c r="B6" s="2" t="s">
        <v>17</v>
      </c>
      <c r="C6" s="2" t="s">
        <v>28</v>
      </c>
      <c r="D6" s="2" t="s">
        <v>29</v>
      </c>
      <c r="E6" s="2" t="s">
        <v>30</v>
      </c>
      <c r="F6" s="2" t="s">
        <v>21</v>
      </c>
      <c r="G6" s="2" t="s">
        <v>22</v>
      </c>
      <c r="H6" s="2" t="s">
        <v>31</v>
      </c>
      <c r="I6" s="2" t="s">
        <v>24</v>
      </c>
      <c r="J6" s="2">
        <v>6.96</v>
      </c>
      <c r="K6" s="2" t="s">
        <v>32</v>
      </c>
      <c r="L6" s="2">
        <v>52509</v>
      </c>
      <c r="M6" s="2" t="str">
        <f t="shared" ref="M6:M44" si="0">EXTRAEX(O6,0)</f>
        <v>10027</v>
      </c>
      <c r="N6" s="2" t="s">
        <v>33</v>
      </c>
      <c r="O6" s="2" t="str">
        <f t="shared" ref="O6:O44" si="1">MID(N6,20,20)</f>
        <v>NTE: 10027 - EDIFICI</v>
      </c>
      <c r="P6" t="str">
        <f t="shared" ref="P6:P44" si="2">LEFT(C6,SEARCH("-",C6,1)-1)</f>
        <v>769</v>
      </c>
      <c r="Q6" s="5" t="str">
        <f t="shared" ref="Q6:Q44" si="3">EXTRAEX(O6,0)</f>
        <v>10027</v>
      </c>
    </row>
    <row r="7" spans="1:23" x14ac:dyDescent="0.25">
      <c r="A7" s="2" t="s">
        <v>34</v>
      </c>
      <c r="B7" s="2" t="s">
        <v>17</v>
      </c>
      <c r="C7" s="2" t="s">
        <v>35</v>
      </c>
      <c r="D7" s="2" t="s">
        <v>29</v>
      </c>
      <c r="E7" s="2" t="s">
        <v>36</v>
      </c>
      <c r="F7" s="2" t="s">
        <v>21</v>
      </c>
      <c r="G7" s="2" t="s">
        <v>22</v>
      </c>
      <c r="H7" s="2" t="s">
        <v>31</v>
      </c>
      <c r="I7" s="2" t="s">
        <v>24</v>
      </c>
      <c r="J7" s="2">
        <v>6.96</v>
      </c>
      <c r="K7" s="2" t="s">
        <v>32</v>
      </c>
      <c r="L7" s="2">
        <v>52508</v>
      </c>
      <c r="M7" s="2" t="str">
        <f t="shared" si="0"/>
        <v>10027</v>
      </c>
      <c r="N7" s="2" t="s">
        <v>33</v>
      </c>
      <c r="O7" s="2" t="str">
        <f t="shared" si="1"/>
        <v>NTE: 10027 - EDIFICI</v>
      </c>
      <c r="P7" t="str">
        <f t="shared" si="2"/>
        <v>770</v>
      </c>
      <c r="Q7" s="5" t="str">
        <f t="shared" si="3"/>
        <v>10027</v>
      </c>
    </row>
    <row r="8" spans="1:23" x14ac:dyDescent="0.25">
      <c r="A8" s="2" t="s">
        <v>37</v>
      </c>
      <c r="B8" s="2" t="s">
        <v>17</v>
      </c>
      <c r="C8" s="2" t="s">
        <v>38</v>
      </c>
      <c r="D8" s="2" t="s">
        <v>39</v>
      </c>
      <c r="E8" s="2" t="s">
        <v>30</v>
      </c>
      <c r="F8" s="2" t="s">
        <v>21</v>
      </c>
      <c r="G8" s="2" t="s">
        <v>22</v>
      </c>
      <c r="H8" s="2" t="s">
        <v>40</v>
      </c>
      <c r="I8" s="2" t="s">
        <v>24</v>
      </c>
      <c r="J8" s="2">
        <v>6.96</v>
      </c>
      <c r="K8" s="2" t="s">
        <v>41</v>
      </c>
      <c r="L8" s="2">
        <v>52506</v>
      </c>
      <c r="M8" s="2" t="str">
        <f t="shared" si="0"/>
        <v>1407</v>
      </c>
      <c r="N8" s="2" t="s">
        <v>42</v>
      </c>
      <c r="O8" s="2" t="str">
        <f t="shared" si="1"/>
        <v>NTE 1407: EDIFICIO T</v>
      </c>
      <c r="P8" t="str">
        <f t="shared" si="2"/>
        <v>768</v>
      </c>
      <c r="Q8" s="5" t="str">
        <f t="shared" si="3"/>
        <v>1407</v>
      </c>
    </row>
    <row r="9" spans="1:23" x14ac:dyDescent="0.25">
      <c r="A9" s="2" t="s">
        <v>43</v>
      </c>
      <c r="B9" s="2" t="s">
        <v>17</v>
      </c>
      <c r="C9" s="2" t="s">
        <v>44</v>
      </c>
      <c r="D9" s="2" t="s">
        <v>45</v>
      </c>
      <c r="E9" s="2" t="s">
        <v>46</v>
      </c>
      <c r="F9" s="2" t="s">
        <v>21</v>
      </c>
      <c r="G9" s="2" t="s">
        <v>22</v>
      </c>
      <c r="H9" s="2" t="s">
        <v>47</v>
      </c>
      <c r="I9" s="2" t="s">
        <v>24</v>
      </c>
      <c r="J9" s="2">
        <v>6.96</v>
      </c>
      <c r="K9" s="2" t="s">
        <v>48</v>
      </c>
      <c r="L9" s="2">
        <v>52356</v>
      </c>
      <c r="M9" s="2" t="str">
        <f t="shared" si="0"/>
        <v>1013</v>
      </c>
      <c r="N9" s="2" t="s">
        <v>49</v>
      </c>
      <c r="O9" s="2" t="str">
        <f t="shared" si="1"/>
        <v xml:space="preserve">E : 1013 - EDIFICIO </v>
      </c>
      <c r="P9" t="str">
        <f t="shared" si="2"/>
        <v>767</v>
      </c>
      <c r="Q9" s="5" t="str">
        <f t="shared" si="3"/>
        <v>1013</v>
      </c>
    </row>
    <row r="10" spans="1:23" x14ac:dyDescent="0.25">
      <c r="A10" s="2" t="s">
        <v>50</v>
      </c>
      <c r="B10" s="2" t="s">
        <v>17</v>
      </c>
      <c r="C10" s="2" t="s">
        <v>51</v>
      </c>
      <c r="D10" s="2" t="s">
        <v>52</v>
      </c>
      <c r="E10" s="2" t="s">
        <v>30</v>
      </c>
      <c r="F10" s="2" t="s">
        <v>21</v>
      </c>
      <c r="G10" s="2" t="s">
        <v>22</v>
      </c>
      <c r="H10" s="2" t="s">
        <v>40</v>
      </c>
      <c r="I10" s="2" t="s">
        <v>24</v>
      </c>
      <c r="J10" s="2">
        <v>6.96</v>
      </c>
      <c r="K10" s="2" t="s">
        <v>53</v>
      </c>
      <c r="L10" s="2">
        <v>52505</v>
      </c>
      <c r="M10" s="2" t="str">
        <f t="shared" si="0"/>
        <v>1585</v>
      </c>
      <c r="N10" s="2" t="s">
        <v>54</v>
      </c>
      <c r="O10" s="2" t="str">
        <f t="shared" si="1"/>
        <v>NTE: 1585 - EDIFICIO</v>
      </c>
      <c r="P10" t="str">
        <f t="shared" si="2"/>
        <v>766</v>
      </c>
      <c r="Q10" s="5" t="str">
        <f t="shared" si="3"/>
        <v>1585</v>
      </c>
    </row>
    <row r="11" spans="1:23" x14ac:dyDescent="0.25">
      <c r="A11" s="2" t="s">
        <v>55</v>
      </c>
      <c r="B11" s="2" t="s">
        <v>17</v>
      </c>
      <c r="C11" s="2" t="s">
        <v>56</v>
      </c>
      <c r="D11" s="2" t="s">
        <v>45</v>
      </c>
      <c r="E11" s="2" t="s">
        <v>57</v>
      </c>
      <c r="F11" s="2" t="s">
        <v>21</v>
      </c>
      <c r="G11" s="2" t="s">
        <v>22</v>
      </c>
      <c r="H11" s="2" t="s">
        <v>47</v>
      </c>
      <c r="I11" s="2" t="s">
        <v>24</v>
      </c>
      <c r="J11" s="2">
        <v>6.96</v>
      </c>
      <c r="K11" s="2" t="s">
        <v>58</v>
      </c>
      <c r="L11" s="2">
        <v>52491</v>
      </c>
      <c r="M11" s="2" t="str">
        <f t="shared" si="0"/>
        <v>1013</v>
      </c>
      <c r="N11" s="2" t="s">
        <v>49</v>
      </c>
      <c r="O11" s="2" t="str">
        <f t="shared" si="1"/>
        <v xml:space="preserve">E : 1013 - EDIFICIO </v>
      </c>
      <c r="P11" t="str">
        <f t="shared" si="2"/>
        <v>765</v>
      </c>
      <c r="Q11" s="5" t="str">
        <f t="shared" si="3"/>
        <v>1013</v>
      </c>
    </row>
    <row r="12" spans="1:23" x14ac:dyDescent="0.25">
      <c r="A12" s="2" t="s">
        <v>59</v>
      </c>
      <c r="B12" s="2" t="s">
        <v>17</v>
      </c>
      <c r="C12" s="2" t="s">
        <v>60</v>
      </c>
      <c r="D12" s="2" t="s">
        <v>61</v>
      </c>
      <c r="E12" s="2" t="s">
        <v>30</v>
      </c>
      <c r="F12" s="2" t="s">
        <v>21</v>
      </c>
      <c r="G12" s="2" t="s">
        <v>22</v>
      </c>
      <c r="H12" s="2" t="s">
        <v>47</v>
      </c>
      <c r="I12" s="2" t="s">
        <v>24</v>
      </c>
      <c r="J12" s="2">
        <v>6.96</v>
      </c>
      <c r="K12" s="2" t="s">
        <v>62</v>
      </c>
      <c r="L12" s="2">
        <v>52503</v>
      </c>
      <c r="M12" s="2" t="str">
        <f t="shared" si="0"/>
        <v>1433</v>
      </c>
      <c r="N12" s="2" t="s">
        <v>63</v>
      </c>
      <c r="O12" s="2" t="str">
        <f t="shared" si="1"/>
        <v>E: 1433 - EDIFICIO M</v>
      </c>
      <c r="P12" t="str">
        <f t="shared" si="2"/>
        <v>764</v>
      </c>
      <c r="Q12" s="5" t="str">
        <f t="shared" si="3"/>
        <v>1433</v>
      </c>
    </row>
    <row r="13" spans="1:23" x14ac:dyDescent="0.25">
      <c r="A13" s="2" t="s">
        <v>64</v>
      </c>
      <c r="B13" s="2" t="s">
        <v>17</v>
      </c>
      <c r="C13" s="2" t="s">
        <v>65</v>
      </c>
      <c r="D13" s="2" t="s">
        <v>66</v>
      </c>
      <c r="E13" s="2" t="s">
        <v>30</v>
      </c>
      <c r="F13" s="2" t="s">
        <v>21</v>
      </c>
      <c r="G13" s="2" t="s">
        <v>22</v>
      </c>
      <c r="H13" s="2" t="s">
        <v>40</v>
      </c>
      <c r="I13" s="2" t="s">
        <v>24</v>
      </c>
      <c r="J13" s="2">
        <v>6.96</v>
      </c>
      <c r="K13" s="2" t="s">
        <v>32</v>
      </c>
      <c r="L13" s="2">
        <v>52501</v>
      </c>
      <c r="M13" s="2" t="str">
        <f t="shared" si="0"/>
        <v>1579</v>
      </c>
      <c r="N13" s="2" t="s">
        <v>67</v>
      </c>
      <c r="O13" s="2" t="str">
        <f t="shared" si="1"/>
        <v>NTE: 1579 - EDIFICIO</v>
      </c>
      <c r="P13" t="str">
        <f t="shared" si="2"/>
        <v>763</v>
      </c>
      <c r="Q13" s="5" t="str">
        <f t="shared" si="3"/>
        <v>1579</v>
      </c>
    </row>
    <row r="14" spans="1:23" x14ac:dyDescent="0.25">
      <c r="A14" s="2" t="s">
        <v>68</v>
      </c>
      <c r="B14" s="2" t="s">
        <v>17</v>
      </c>
      <c r="C14" s="2" t="s">
        <v>69</v>
      </c>
      <c r="D14" s="2" t="s">
        <v>66</v>
      </c>
      <c r="E14" s="2" t="s">
        <v>36</v>
      </c>
      <c r="F14" s="2" t="s">
        <v>21</v>
      </c>
      <c r="G14" s="2" t="s">
        <v>22</v>
      </c>
      <c r="H14" s="2" t="s">
        <v>40</v>
      </c>
      <c r="I14" s="2" t="s">
        <v>24</v>
      </c>
      <c r="J14" s="2">
        <v>6.96</v>
      </c>
      <c r="K14" s="2" t="s">
        <v>32</v>
      </c>
      <c r="L14" s="2">
        <v>52500</v>
      </c>
      <c r="M14" s="2" t="str">
        <f t="shared" si="0"/>
        <v>1579</v>
      </c>
      <c r="N14" s="2" t="s">
        <v>67</v>
      </c>
      <c r="O14" s="2" t="str">
        <f t="shared" si="1"/>
        <v>NTE: 1579 - EDIFICIO</v>
      </c>
      <c r="P14" t="str">
        <f t="shared" si="2"/>
        <v>762</v>
      </c>
      <c r="Q14" s="5" t="str">
        <f t="shared" si="3"/>
        <v>1579</v>
      </c>
    </row>
    <row r="15" spans="1:23" x14ac:dyDescent="0.25">
      <c r="A15" s="2" t="s">
        <v>70</v>
      </c>
      <c r="B15" s="2" t="s">
        <v>17</v>
      </c>
      <c r="C15" s="2" t="s">
        <v>71</v>
      </c>
      <c r="D15" s="2" t="s">
        <v>72</v>
      </c>
      <c r="E15" s="2" t="s">
        <v>30</v>
      </c>
      <c r="F15" s="2" t="s">
        <v>21</v>
      </c>
      <c r="G15" s="2" t="s">
        <v>22</v>
      </c>
      <c r="H15" s="2" t="s">
        <v>73</v>
      </c>
      <c r="I15" s="2" t="s">
        <v>24</v>
      </c>
      <c r="J15" s="2">
        <v>6.96</v>
      </c>
      <c r="K15" s="2" t="s">
        <v>74</v>
      </c>
      <c r="L15" s="2">
        <v>52499</v>
      </c>
      <c r="M15" s="2" t="str">
        <f t="shared" si="0"/>
        <v>1763</v>
      </c>
      <c r="N15" s="2" t="s">
        <v>75</v>
      </c>
      <c r="O15" s="2" t="str">
        <f t="shared" si="1"/>
        <v>NTE: 1763 - EDIFICIO</v>
      </c>
      <c r="P15" t="str">
        <f t="shared" si="2"/>
        <v>761</v>
      </c>
      <c r="Q15" s="5" t="str">
        <f t="shared" si="3"/>
        <v>1763</v>
      </c>
    </row>
    <row r="16" spans="1:23" x14ac:dyDescent="0.25">
      <c r="A16" s="2" t="s">
        <v>76</v>
      </c>
      <c r="B16" s="2" t="s">
        <v>17</v>
      </c>
      <c r="C16" s="2" t="s">
        <v>77</v>
      </c>
      <c r="D16" s="2" t="s">
        <v>72</v>
      </c>
      <c r="E16" s="2" t="s">
        <v>36</v>
      </c>
      <c r="F16" s="2" t="s">
        <v>21</v>
      </c>
      <c r="G16" s="2" t="s">
        <v>22</v>
      </c>
      <c r="H16" s="2" t="s">
        <v>73</v>
      </c>
      <c r="I16" s="2" t="s">
        <v>24</v>
      </c>
      <c r="J16" s="2">
        <v>6.96</v>
      </c>
      <c r="K16" s="2" t="s">
        <v>74</v>
      </c>
      <c r="L16" s="2">
        <v>52489</v>
      </c>
      <c r="M16" s="2" t="str">
        <f t="shared" si="0"/>
        <v>1763</v>
      </c>
      <c r="N16" s="2" t="s">
        <v>75</v>
      </c>
      <c r="O16" s="2" t="str">
        <f t="shared" si="1"/>
        <v>NTE: 1763 - EDIFICIO</v>
      </c>
      <c r="P16" t="str">
        <f t="shared" si="2"/>
        <v>758</v>
      </c>
      <c r="Q16" s="5" t="str">
        <f t="shared" si="3"/>
        <v>1763</v>
      </c>
    </row>
    <row r="17" spans="1:17" x14ac:dyDescent="0.25">
      <c r="A17" s="2" t="s">
        <v>78</v>
      </c>
      <c r="B17" s="2" t="s">
        <v>17</v>
      </c>
      <c r="C17" s="2" t="s">
        <v>79</v>
      </c>
      <c r="D17" s="2" t="s">
        <v>80</v>
      </c>
      <c r="E17" s="2" t="s">
        <v>30</v>
      </c>
      <c r="F17" s="2" t="s">
        <v>21</v>
      </c>
      <c r="G17" s="2" t="s">
        <v>22</v>
      </c>
      <c r="H17" s="2" t="s">
        <v>81</v>
      </c>
      <c r="I17" s="2" t="s">
        <v>24</v>
      </c>
      <c r="J17" s="2">
        <v>6.96</v>
      </c>
      <c r="K17" s="2" t="s">
        <v>82</v>
      </c>
      <c r="L17" s="2">
        <v>52484</v>
      </c>
      <c r="M17" s="2" t="str">
        <f t="shared" si="0"/>
        <v>1394</v>
      </c>
      <c r="N17" s="2" t="s">
        <v>83</v>
      </c>
      <c r="O17" s="2" t="str">
        <f t="shared" si="1"/>
        <v xml:space="preserve">E : 1394 - EDIFICIO </v>
      </c>
      <c r="P17" t="str">
        <f t="shared" si="2"/>
        <v>755</v>
      </c>
      <c r="Q17" s="5" t="str">
        <f t="shared" si="3"/>
        <v>1394</v>
      </c>
    </row>
    <row r="18" spans="1:17" x14ac:dyDescent="0.25">
      <c r="A18" s="2" t="s">
        <v>84</v>
      </c>
      <c r="B18" s="2" t="s">
        <v>85</v>
      </c>
      <c r="C18" s="2" t="s">
        <v>86</v>
      </c>
      <c r="D18" s="2" t="s">
        <v>80</v>
      </c>
      <c r="E18" s="2" t="s">
        <v>36</v>
      </c>
      <c r="F18" s="2" t="s">
        <v>21</v>
      </c>
      <c r="G18" s="2" t="s">
        <v>22</v>
      </c>
      <c r="H18" s="2" t="s">
        <v>47</v>
      </c>
      <c r="I18" s="2" t="s">
        <v>24</v>
      </c>
      <c r="J18" s="2">
        <v>6.96</v>
      </c>
      <c r="K18" s="2" t="s">
        <v>82</v>
      </c>
      <c r="L18" s="2">
        <v>52483</v>
      </c>
      <c r="M18" s="2" t="str">
        <f t="shared" si="0"/>
        <v>1394</v>
      </c>
      <c r="N18" s="2" t="s">
        <v>83</v>
      </c>
      <c r="O18" s="2" t="str">
        <f t="shared" si="1"/>
        <v xml:space="preserve">E : 1394 - EDIFICIO </v>
      </c>
      <c r="P18" t="str">
        <f t="shared" si="2"/>
        <v>753</v>
      </c>
      <c r="Q18" s="5" t="str">
        <f t="shared" si="3"/>
        <v>1394</v>
      </c>
    </row>
    <row r="19" spans="1:17" x14ac:dyDescent="0.25">
      <c r="A19" s="2" t="s">
        <v>87</v>
      </c>
      <c r="B19" s="2" t="s">
        <v>85</v>
      </c>
      <c r="C19" s="2" t="s">
        <v>88</v>
      </c>
      <c r="D19" s="2" t="s">
        <v>89</v>
      </c>
      <c r="E19" s="2" t="s">
        <v>36</v>
      </c>
      <c r="F19" s="2" t="s">
        <v>21</v>
      </c>
      <c r="G19" s="2" t="s">
        <v>22</v>
      </c>
      <c r="H19" s="2" t="s">
        <v>90</v>
      </c>
      <c r="I19" s="2" t="s">
        <v>24</v>
      </c>
      <c r="J19" s="2">
        <v>6.96</v>
      </c>
      <c r="K19" s="2" t="s">
        <v>32</v>
      </c>
      <c r="L19" s="2"/>
      <c r="M19" s="2" t="str">
        <f t="shared" si="0"/>
        <v>4019</v>
      </c>
      <c r="N19" s="2" t="s">
        <v>91</v>
      </c>
      <c r="O19" s="2" t="str">
        <f t="shared" si="1"/>
        <v xml:space="preserve">E: 4019 - EDIFICIO: </v>
      </c>
      <c r="P19" t="str">
        <f t="shared" si="2"/>
        <v>751</v>
      </c>
      <c r="Q19" s="5" t="str">
        <f t="shared" si="3"/>
        <v>4019</v>
      </c>
    </row>
    <row r="20" spans="1:17" x14ac:dyDescent="0.25">
      <c r="A20" s="2" t="s">
        <v>92</v>
      </c>
      <c r="B20" s="2" t="s">
        <v>85</v>
      </c>
      <c r="C20" s="2" t="s">
        <v>93</v>
      </c>
      <c r="D20" s="2" t="s">
        <v>94</v>
      </c>
      <c r="E20" s="2" t="s">
        <v>36</v>
      </c>
      <c r="F20" s="2" t="s">
        <v>21</v>
      </c>
      <c r="G20" s="2" t="s">
        <v>22</v>
      </c>
      <c r="H20" s="2" t="s">
        <v>47</v>
      </c>
      <c r="I20" s="2" t="s">
        <v>24</v>
      </c>
      <c r="J20" s="2">
        <v>6.96</v>
      </c>
      <c r="K20" s="2" t="s">
        <v>95</v>
      </c>
      <c r="L20" s="2">
        <v>52479</v>
      </c>
      <c r="M20" s="2" t="str">
        <f t="shared" si="0"/>
        <v>1197</v>
      </c>
      <c r="N20" s="2" t="s">
        <v>96</v>
      </c>
      <c r="O20" s="2" t="str">
        <f t="shared" si="1"/>
        <v>E :1197 - EDIFICIO M</v>
      </c>
      <c r="P20" t="str">
        <f t="shared" si="2"/>
        <v>748</v>
      </c>
      <c r="Q20" s="5" t="str">
        <f t="shared" si="3"/>
        <v>1197</v>
      </c>
    </row>
    <row r="21" spans="1:17" x14ac:dyDescent="0.25">
      <c r="A21" s="2" t="s">
        <v>97</v>
      </c>
      <c r="B21" s="2" t="s">
        <v>85</v>
      </c>
      <c r="C21" s="2" t="s">
        <v>98</v>
      </c>
      <c r="D21" s="2" t="s">
        <v>99</v>
      </c>
      <c r="E21" s="2" t="s">
        <v>30</v>
      </c>
      <c r="F21" s="2" t="s">
        <v>21</v>
      </c>
      <c r="G21" s="2" t="s">
        <v>22</v>
      </c>
      <c r="H21" s="2" t="s">
        <v>47</v>
      </c>
      <c r="I21" s="2" t="s">
        <v>24</v>
      </c>
      <c r="J21" s="2">
        <v>6.96</v>
      </c>
      <c r="K21" s="2" t="s">
        <v>100</v>
      </c>
      <c r="L21" s="2">
        <v>52474</v>
      </c>
      <c r="M21" s="2" t="str">
        <f t="shared" si="0"/>
        <v>10187</v>
      </c>
      <c r="N21" s="2" t="s">
        <v>101</v>
      </c>
      <c r="O21" s="2" t="str">
        <f t="shared" si="1"/>
        <v>E : 10187 - TES BIEN</v>
      </c>
      <c r="P21" t="str">
        <f t="shared" si="2"/>
        <v>745</v>
      </c>
      <c r="Q21" s="5" t="str">
        <f t="shared" si="3"/>
        <v>10187</v>
      </c>
    </row>
    <row r="22" spans="1:17" x14ac:dyDescent="0.25">
      <c r="A22" s="2" t="s">
        <v>102</v>
      </c>
      <c r="B22" s="2" t="s">
        <v>85</v>
      </c>
      <c r="C22" s="2" t="s">
        <v>103</v>
      </c>
      <c r="D22" s="2" t="s">
        <v>104</v>
      </c>
      <c r="E22" s="2" t="s">
        <v>30</v>
      </c>
      <c r="F22" s="2" t="s">
        <v>21</v>
      </c>
      <c r="G22" s="2" t="s">
        <v>22</v>
      </c>
      <c r="H22" s="2" t="s">
        <v>105</v>
      </c>
      <c r="I22" s="2" t="s">
        <v>24</v>
      </c>
      <c r="J22" s="2">
        <v>6.96</v>
      </c>
      <c r="K22" s="2" t="s">
        <v>100</v>
      </c>
      <c r="L22" s="2">
        <v>52472</v>
      </c>
      <c r="M22" s="2" t="str">
        <f t="shared" si="0"/>
        <v>1375</v>
      </c>
      <c r="N22" s="2" t="s">
        <v>106</v>
      </c>
      <c r="O22" s="2" t="str">
        <f t="shared" si="1"/>
        <v>NTE: 1375 - EDIFICIO</v>
      </c>
      <c r="P22" t="str">
        <f t="shared" si="2"/>
        <v>741</v>
      </c>
      <c r="Q22" s="5" t="str">
        <f t="shared" si="3"/>
        <v>1375</v>
      </c>
    </row>
    <row r="23" spans="1:17" x14ac:dyDescent="0.25">
      <c r="A23" s="2" t="s">
        <v>107</v>
      </c>
      <c r="B23" s="2" t="s">
        <v>85</v>
      </c>
      <c r="C23" s="2" t="s">
        <v>108</v>
      </c>
      <c r="D23" s="2" t="s">
        <v>104</v>
      </c>
      <c r="E23" s="2" t="s">
        <v>36</v>
      </c>
      <c r="F23" s="2" t="s">
        <v>21</v>
      </c>
      <c r="G23" s="2" t="s">
        <v>22</v>
      </c>
      <c r="H23" s="2" t="s">
        <v>105</v>
      </c>
      <c r="I23" s="2" t="s">
        <v>24</v>
      </c>
      <c r="J23" s="2">
        <v>6.96</v>
      </c>
      <c r="K23" s="2" t="s">
        <v>100</v>
      </c>
      <c r="L23" s="2">
        <v>52471</v>
      </c>
      <c r="M23" s="2" t="str">
        <f t="shared" si="0"/>
        <v>1375</v>
      </c>
      <c r="N23" s="2" t="s">
        <v>106</v>
      </c>
      <c r="O23" s="2" t="str">
        <f t="shared" si="1"/>
        <v>NTE: 1375 - EDIFICIO</v>
      </c>
      <c r="P23" t="str">
        <f t="shared" si="2"/>
        <v>740</v>
      </c>
      <c r="Q23" s="5" t="str">
        <f t="shared" si="3"/>
        <v>1375</v>
      </c>
    </row>
    <row r="24" spans="1:17" x14ac:dyDescent="0.25">
      <c r="A24" s="2" t="s">
        <v>109</v>
      </c>
      <c r="B24" s="2" t="s">
        <v>85</v>
      </c>
      <c r="C24" s="2" t="s">
        <v>110</v>
      </c>
      <c r="D24" s="2" t="s">
        <v>111</v>
      </c>
      <c r="E24" s="2" t="s">
        <v>30</v>
      </c>
      <c r="F24" s="2" t="s">
        <v>21</v>
      </c>
      <c r="G24" s="2" t="s">
        <v>22</v>
      </c>
      <c r="H24" s="2" t="s">
        <v>47</v>
      </c>
      <c r="I24" s="2" t="s">
        <v>24</v>
      </c>
      <c r="J24" s="2">
        <v>6.96</v>
      </c>
      <c r="K24" s="2" t="s">
        <v>112</v>
      </c>
      <c r="L24" s="2">
        <v>52469</v>
      </c>
      <c r="M24" s="2" t="str">
        <f t="shared" si="0"/>
        <v>1412</v>
      </c>
      <c r="N24" s="2" t="s">
        <v>113</v>
      </c>
      <c r="O24" s="2" t="str">
        <f t="shared" si="1"/>
        <v xml:space="preserve">E: 1412 - EDIFICIO: </v>
      </c>
      <c r="P24" t="str">
        <f t="shared" si="2"/>
        <v>739</v>
      </c>
      <c r="Q24" s="5" t="str">
        <f t="shared" si="3"/>
        <v>1412</v>
      </c>
    </row>
    <row r="25" spans="1:17" x14ac:dyDescent="0.25">
      <c r="A25" s="2" t="s">
        <v>114</v>
      </c>
      <c r="B25" s="2" t="s">
        <v>85</v>
      </c>
      <c r="C25" s="2" t="s">
        <v>115</v>
      </c>
      <c r="D25" s="2" t="s">
        <v>116</v>
      </c>
      <c r="E25" s="2" t="s">
        <v>30</v>
      </c>
      <c r="F25" s="2" t="s">
        <v>21</v>
      </c>
      <c r="G25" s="2" t="s">
        <v>22</v>
      </c>
      <c r="H25" s="2" t="s">
        <v>47</v>
      </c>
      <c r="I25" s="2" t="s">
        <v>24</v>
      </c>
      <c r="J25" s="2">
        <v>6.96</v>
      </c>
      <c r="K25" s="2" t="s">
        <v>117</v>
      </c>
      <c r="L25" s="2">
        <v>52468</v>
      </c>
      <c r="M25" s="2" t="str">
        <f t="shared" si="0"/>
        <v>1202</v>
      </c>
      <c r="N25" s="2" t="s">
        <v>118</v>
      </c>
      <c r="O25" s="2" t="str">
        <f t="shared" si="1"/>
        <v>NTE : _ 1202 - EDIFI</v>
      </c>
      <c r="P25" t="str">
        <f t="shared" si="2"/>
        <v>738</v>
      </c>
      <c r="Q25" s="5" t="str">
        <f t="shared" si="3"/>
        <v>1202</v>
      </c>
    </row>
    <row r="26" spans="1:17" x14ac:dyDescent="0.25">
      <c r="A26" s="2" t="s">
        <v>119</v>
      </c>
      <c r="B26" s="2" t="s">
        <v>85</v>
      </c>
      <c r="C26" s="2" t="s">
        <v>120</v>
      </c>
      <c r="D26" s="2" t="s">
        <v>121</v>
      </c>
      <c r="E26" s="2" t="s">
        <v>36</v>
      </c>
      <c r="F26" s="2" t="s">
        <v>21</v>
      </c>
      <c r="G26" s="2" t="s">
        <v>22</v>
      </c>
      <c r="H26" s="2" t="s">
        <v>73</v>
      </c>
      <c r="I26" s="2" t="s">
        <v>24</v>
      </c>
      <c r="J26" s="2">
        <v>6.96</v>
      </c>
      <c r="K26" s="2" t="s">
        <v>122</v>
      </c>
      <c r="L26" s="2">
        <v>52461</v>
      </c>
      <c r="M26" s="2" t="str">
        <f t="shared" si="0"/>
        <v>1988</v>
      </c>
      <c r="N26" s="2" t="s">
        <v>123</v>
      </c>
      <c r="O26" s="2" t="str">
        <f t="shared" si="1"/>
        <v>NTE: 1988 - EDIFICIO</v>
      </c>
      <c r="P26" t="str">
        <f t="shared" si="2"/>
        <v>737</v>
      </c>
      <c r="Q26" s="5" t="str">
        <f t="shared" si="3"/>
        <v>1988</v>
      </c>
    </row>
    <row r="27" spans="1:17" x14ac:dyDescent="0.25">
      <c r="A27" s="2" t="s">
        <v>124</v>
      </c>
      <c r="B27" s="2" t="s">
        <v>85</v>
      </c>
      <c r="C27" s="2" t="s">
        <v>125</v>
      </c>
      <c r="D27" s="2" t="s">
        <v>126</v>
      </c>
      <c r="E27" s="2" t="s">
        <v>30</v>
      </c>
      <c r="F27" s="2" t="s">
        <v>21</v>
      </c>
      <c r="G27" s="2" t="s">
        <v>22</v>
      </c>
      <c r="H27" s="2" t="s">
        <v>47</v>
      </c>
      <c r="I27" s="2" t="s">
        <v>24</v>
      </c>
      <c r="J27" s="2">
        <v>6.96</v>
      </c>
      <c r="K27" s="2" t="s">
        <v>62</v>
      </c>
      <c r="L27" s="2">
        <v>52467</v>
      </c>
      <c r="M27" s="2" t="str">
        <f t="shared" si="0"/>
        <v>1521</v>
      </c>
      <c r="N27" s="2" t="s">
        <v>127</v>
      </c>
      <c r="O27" s="2" t="str">
        <f t="shared" si="1"/>
        <v>NTE: 1521 - EDIFICIO</v>
      </c>
      <c r="P27" t="str">
        <f t="shared" si="2"/>
        <v>736</v>
      </c>
      <c r="Q27" s="5" t="str">
        <f t="shared" si="3"/>
        <v>1521</v>
      </c>
    </row>
    <row r="28" spans="1:17" x14ac:dyDescent="0.25">
      <c r="A28" s="2" t="s">
        <v>128</v>
      </c>
      <c r="B28" s="2" t="s">
        <v>85</v>
      </c>
      <c r="C28" s="2" t="s">
        <v>129</v>
      </c>
      <c r="D28" s="2" t="s">
        <v>130</v>
      </c>
      <c r="E28" s="2" t="s">
        <v>36</v>
      </c>
      <c r="F28" s="2" t="s">
        <v>21</v>
      </c>
      <c r="G28" s="2" t="s">
        <v>22</v>
      </c>
      <c r="H28" s="2" t="s">
        <v>73</v>
      </c>
      <c r="I28" s="2" t="s">
        <v>24</v>
      </c>
      <c r="J28" s="2">
        <v>6.96</v>
      </c>
      <c r="K28" s="2" t="s">
        <v>131</v>
      </c>
      <c r="L28" s="2">
        <v>52466</v>
      </c>
      <c r="M28" s="2" t="str">
        <f t="shared" si="0"/>
        <v>1558</v>
      </c>
      <c r="N28" s="2" t="s">
        <v>132</v>
      </c>
      <c r="O28" s="2" t="str">
        <f t="shared" si="1"/>
        <v>NTE: 1558 - EDIFICIO</v>
      </c>
      <c r="P28" t="str">
        <f t="shared" si="2"/>
        <v>735</v>
      </c>
      <c r="Q28" s="5" t="str">
        <f t="shared" si="3"/>
        <v>1558</v>
      </c>
    </row>
    <row r="29" spans="1:17" x14ac:dyDescent="0.25">
      <c r="A29" s="2" t="s">
        <v>133</v>
      </c>
      <c r="B29" s="2" t="s">
        <v>85</v>
      </c>
      <c r="C29" s="2" t="s">
        <v>134</v>
      </c>
      <c r="D29" s="2" t="s">
        <v>135</v>
      </c>
      <c r="E29" s="2" t="s">
        <v>30</v>
      </c>
      <c r="F29" s="2" t="s">
        <v>21</v>
      </c>
      <c r="G29" s="2" t="s">
        <v>22</v>
      </c>
      <c r="H29" s="2" t="s">
        <v>47</v>
      </c>
      <c r="I29" s="2" t="s">
        <v>24</v>
      </c>
      <c r="J29" s="2">
        <v>6.96</v>
      </c>
      <c r="K29" s="2" t="s">
        <v>136</v>
      </c>
      <c r="L29" s="2">
        <v>52465</v>
      </c>
      <c r="M29" s="2" t="str">
        <f t="shared" si="0"/>
        <v>1602</v>
      </c>
      <c r="N29" s="2" t="s">
        <v>137</v>
      </c>
      <c r="O29" s="2" t="str">
        <f t="shared" si="1"/>
        <v>NTE: 1602 - EDIFICIO</v>
      </c>
      <c r="P29" t="str">
        <f t="shared" si="2"/>
        <v>734</v>
      </c>
      <c r="Q29" s="5" t="str">
        <f t="shared" si="3"/>
        <v>1602</v>
      </c>
    </row>
    <row r="30" spans="1:17" x14ac:dyDescent="0.25">
      <c r="A30" s="2" t="s">
        <v>138</v>
      </c>
      <c r="B30" s="2" t="s">
        <v>85</v>
      </c>
      <c r="C30" s="2" t="s">
        <v>139</v>
      </c>
      <c r="D30" s="2" t="s">
        <v>135</v>
      </c>
      <c r="E30" s="2" t="s">
        <v>36</v>
      </c>
      <c r="F30" s="2" t="s">
        <v>21</v>
      </c>
      <c r="G30" s="2" t="s">
        <v>22</v>
      </c>
      <c r="H30" s="2" t="s">
        <v>47</v>
      </c>
      <c r="I30" s="2" t="s">
        <v>24</v>
      </c>
      <c r="J30" s="2">
        <v>6.96</v>
      </c>
      <c r="K30" s="2" t="s">
        <v>136</v>
      </c>
      <c r="L30" s="2">
        <v>52464</v>
      </c>
      <c r="M30" s="2" t="str">
        <f t="shared" si="0"/>
        <v>1602</v>
      </c>
      <c r="N30" s="2" t="s">
        <v>137</v>
      </c>
      <c r="O30" s="2" t="str">
        <f t="shared" si="1"/>
        <v>NTE: 1602 - EDIFICIO</v>
      </c>
      <c r="P30" t="str">
        <f t="shared" si="2"/>
        <v>733</v>
      </c>
      <c r="Q30" s="5" t="str">
        <f t="shared" si="3"/>
        <v>1602</v>
      </c>
    </row>
    <row r="31" spans="1:17" x14ac:dyDescent="0.25">
      <c r="A31" s="2" t="s">
        <v>140</v>
      </c>
      <c r="B31" s="2" t="s">
        <v>85</v>
      </c>
      <c r="C31" s="2" t="s">
        <v>141</v>
      </c>
      <c r="D31" s="2" t="s">
        <v>142</v>
      </c>
      <c r="E31" s="2" t="s">
        <v>30</v>
      </c>
      <c r="F31" s="2" t="s">
        <v>21</v>
      </c>
      <c r="G31" s="2" t="s">
        <v>22</v>
      </c>
      <c r="H31" s="2" t="s">
        <v>47</v>
      </c>
      <c r="I31" s="2" t="s">
        <v>24</v>
      </c>
      <c r="J31" s="2">
        <v>6.96</v>
      </c>
      <c r="K31" s="2" t="s">
        <v>143</v>
      </c>
      <c r="L31" s="2">
        <v>52455</v>
      </c>
      <c r="M31" s="2" t="str">
        <f t="shared" si="0"/>
        <v>1877</v>
      </c>
      <c r="N31" s="2" t="s">
        <v>144</v>
      </c>
      <c r="O31" s="2" t="str">
        <f t="shared" si="1"/>
        <v>NTE : _ 1877 - EDIFI</v>
      </c>
      <c r="P31" t="str">
        <f t="shared" si="2"/>
        <v>732</v>
      </c>
      <c r="Q31" s="5" t="str">
        <f t="shared" si="3"/>
        <v>1877</v>
      </c>
    </row>
    <row r="32" spans="1:17" x14ac:dyDescent="0.25">
      <c r="A32" s="2" t="s">
        <v>145</v>
      </c>
      <c r="B32" s="2" t="s">
        <v>85</v>
      </c>
      <c r="C32" s="2" t="s">
        <v>146</v>
      </c>
      <c r="D32" s="2" t="s">
        <v>142</v>
      </c>
      <c r="E32" s="2" t="s">
        <v>36</v>
      </c>
      <c r="F32" s="2" t="s">
        <v>21</v>
      </c>
      <c r="G32" s="2" t="s">
        <v>22</v>
      </c>
      <c r="H32" s="2" t="s">
        <v>47</v>
      </c>
      <c r="I32" s="2" t="s">
        <v>24</v>
      </c>
      <c r="J32" s="2">
        <v>6.96</v>
      </c>
      <c r="K32" s="2" t="s">
        <v>143</v>
      </c>
      <c r="L32" s="2">
        <v>52453</v>
      </c>
      <c r="M32" s="2" t="str">
        <f t="shared" si="0"/>
        <v>1877</v>
      </c>
      <c r="N32" s="2" t="s">
        <v>144</v>
      </c>
      <c r="O32" s="2" t="str">
        <f t="shared" si="1"/>
        <v>NTE : _ 1877 - EDIFI</v>
      </c>
      <c r="P32" t="str">
        <f t="shared" si="2"/>
        <v>731</v>
      </c>
      <c r="Q32" s="5" t="str">
        <f t="shared" si="3"/>
        <v>1877</v>
      </c>
    </row>
    <row r="33" spans="1:17" x14ac:dyDescent="0.25">
      <c r="A33" s="2" t="s">
        <v>147</v>
      </c>
      <c r="B33" s="2" t="s">
        <v>85</v>
      </c>
      <c r="C33" s="2" t="s">
        <v>148</v>
      </c>
      <c r="D33" s="2" t="s">
        <v>149</v>
      </c>
      <c r="E33" s="2" t="s">
        <v>150</v>
      </c>
      <c r="F33" s="2" t="s">
        <v>21</v>
      </c>
      <c r="G33" s="2" t="s">
        <v>22</v>
      </c>
      <c r="H33" s="2" t="s">
        <v>47</v>
      </c>
      <c r="I33" s="2" t="s">
        <v>24</v>
      </c>
      <c r="J33" s="2">
        <v>6.96</v>
      </c>
      <c r="K33" s="2" t="s">
        <v>151</v>
      </c>
      <c r="L33" s="2">
        <v>52454</v>
      </c>
      <c r="M33" s="2" t="str">
        <f t="shared" si="0"/>
        <v>1238</v>
      </c>
      <c r="N33" s="2" t="s">
        <v>152</v>
      </c>
      <c r="O33" s="2" t="str">
        <f t="shared" si="1"/>
        <v>E :1238 - TORRE OBRA</v>
      </c>
      <c r="P33" t="str">
        <f t="shared" si="2"/>
        <v>730</v>
      </c>
      <c r="Q33" s="5" t="str">
        <f t="shared" si="3"/>
        <v>1238</v>
      </c>
    </row>
    <row r="34" spans="1:17" x14ac:dyDescent="0.25">
      <c r="A34" s="2" t="s">
        <v>153</v>
      </c>
      <c r="B34" s="2" t="s">
        <v>85</v>
      </c>
      <c r="C34" s="2" t="s">
        <v>154</v>
      </c>
      <c r="D34" s="2" t="s">
        <v>155</v>
      </c>
      <c r="E34" s="2" t="s">
        <v>30</v>
      </c>
      <c r="F34" s="2" t="s">
        <v>21</v>
      </c>
      <c r="G34" s="2" t="s">
        <v>22</v>
      </c>
      <c r="H34" s="2" t="s">
        <v>47</v>
      </c>
      <c r="I34" s="2" t="s">
        <v>24</v>
      </c>
      <c r="J34" s="2">
        <v>6.96</v>
      </c>
      <c r="K34" s="2" t="s">
        <v>131</v>
      </c>
      <c r="L34" s="2"/>
      <c r="M34" s="2" t="str">
        <f t="shared" si="0"/>
        <v>1803</v>
      </c>
      <c r="N34" s="2" t="s">
        <v>156</v>
      </c>
      <c r="O34" s="2" t="str">
        <f t="shared" si="1"/>
        <v>E: 1803 EDIFICIO DEL</v>
      </c>
      <c r="P34" t="str">
        <f t="shared" si="2"/>
        <v>729</v>
      </c>
      <c r="Q34" s="5" t="str">
        <f t="shared" si="3"/>
        <v>1803</v>
      </c>
    </row>
    <row r="35" spans="1:17" x14ac:dyDescent="0.25">
      <c r="A35" s="2" t="s">
        <v>157</v>
      </c>
      <c r="B35" s="2" t="s">
        <v>17</v>
      </c>
      <c r="C35" s="2" t="s">
        <v>158</v>
      </c>
      <c r="D35" s="2" t="s">
        <v>159</v>
      </c>
      <c r="E35" s="2" t="s">
        <v>36</v>
      </c>
      <c r="F35" s="2" t="s">
        <v>21</v>
      </c>
      <c r="G35" s="2" t="s">
        <v>22</v>
      </c>
      <c r="H35" s="2" t="s">
        <v>31</v>
      </c>
      <c r="I35" s="2" t="s">
        <v>24</v>
      </c>
      <c r="J35" s="2">
        <v>6.96</v>
      </c>
      <c r="K35" s="2" t="s">
        <v>62</v>
      </c>
      <c r="L35" s="2">
        <v>52490</v>
      </c>
      <c r="M35" s="2" t="str">
        <f t="shared" si="0"/>
        <v>2076</v>
      </c>
      <c r="N35" s="2" t="s">
        <v>160</v>
      </c>
      <c r="O35" s="2" t="str">
        <f t="shared" si="1"/>
        <v>nte: 2076 / Edificio</v>
      </c>
      <c r="P35" t="str">
        <f t="shared" si="2"/>
        <v>754</v>
      </c>
      <c r="Q35" s="5" t="str">
        <f t="shared" si="3"/>
        <v>2076</v>
      </c>
    </row>
    <row r="36" spans="1:17" x14ac:dyDescent="0.25">
      <c r="A36" s="2" t="s">
        <v>161</v>
      </c>
      <c r="B36" s="2" t="s">
        <v>85</v>
      </c>
      <c r="C36" s="2" t="s">
        <v>162</v>
      </c>
      <c r="D36" s="2" t="s">
        <v>89</v>
      </c>
      <c r="E36" s="2" t="s">
        <v>30</v>
      </c>
      <c r="F36" s="2" t="s">
        <v>21</v>
      </c>
      <c r="G36" s="2" t="s">
        <v>22</v>
      </c>
      <c r="H36" s="2" t="s">
        <v>73</v>
      </c>
      <c r="I36" s="2" t="s">
        <v>24</v>
      </c>
      <c r="J36" s="2">
        <v>6.96</v>
      </c>
      <c r="K36" s="2" t="s">
        <v>32</v>
      </c>
      <c r="L36" s="2"/>
      <c r="M36" s="2" t="str">
        <f t="shared" si="0"/>
        <v>4019</v>
      </c>
      <c r="N36" s="2" t="s">
        <v>91</v>
      </c>
      <c r="O36" s="2" t="str">
        <f t="shared" si="1"/>
        <v xml:space="preserve">E: 4019 - EDIFICIO: </v>
      </c>
      <c r="P36" t="str">
        <f t="shared" si="2"/>
        <v>750</v>
      </c>
      <c r="Q36" s="5" t="str">
        <f t="shared" si="3"/>
        <v>4019</v>
      </c>
    </row>
    <row r="37" spans="1:17" x14ac:dyDescent="0.25">
      <c r="A37" s="2" t="s">
        <v>163</v>
      </c>
      <c r="B37" s="2" t="s">
        <v>85</v>
      </c>
      <c r="C37" s="2" t="s">
        <v>164</v>
      </c>
      <c r="D37" s="2" t="s">
        <v>165</v>
      </c>
      <c r="E37" s="2" t="s">
        <v>30</v>
      </c>
      <c r="F37" s="2" t="s">
        <v>21</v>
      </c>
      <c r="G37" s="2" t="s">
        <v>22</v>
      </c>
      <c r="H37" s="2" t="s">
        <v>17</v>
      </c>
      <c r="I37" s="2" t="s">
        <v>24</v>
      </c>
      <c r="J37" s="2">
        <v>6.96</v>
      </c>
      <c r="K37" s="2" t="s">
        <v>32</v>
      </c>
      <c r="L37" s="2">
        <v>52458</v>
      </c>
      <c r="M37" s="2" t="str">
        <f t="shared" si="0"/>
        <v>2095</v>
      </c>
      <c r="N37" s="2" t="s">
        <v>166</v>
      </c>
      <c r="O37" s="2" t="str">
        <f t="shared" si="1"/>
        <v>nte: 2095 / Nombre d</v>
      </c>
      <c r="P37" t="str">
        <f t="shared" si="2"/>
        <v>746</v>
      </c>
      <c r="Q37" s="5" t="str">
        <f t="shared" si="3"/>
        <v>2095</v>
      </c>
    </row>
    <row r="38" spans="1:17" x14ac:dyDescent="0.25">
      <c r="A38" s="2" t="s">
        <v>167</v>
      </c>
      <c r="B38" s="2" t="s">
        <v>85</v>
      </c>
      <c r="C38" s="2" t="s">
        <v>168</v>
      </c>
      <c r="D38" s="2" t="s">
        <v>169</v>
      </c>
      <c r="E38" s="2" t="s">
        <v>30</v>
      </c>
      <c r="F38" s="2" t="s">
        <v>21</v>
      </c>
      <c r="G38" s="2" t="s">
        <v>22</v>
      </c>
      <c r="H38" s="2" t="s">
        <v>73</v>
      </c>
      <c r="I38" s="2" t="s">
        <v>24</v>
      </c>
      <c r="J38" s="2">
        <v>6.96</v>
      </c>
      <c r="K38" s="2" t="s">
        <v>32</v>
      </c>
      <c r="L38" s="2">
        <v>52457</v>
      </c>
      <c r="M38" s="2" t="str">
        <f t="shared" si="0"/>
        <v>2340</v>
      </c>
      <c r="N38" s="2" t="s">
        <v>170</v>
      </c>
      <c r="O38" s="2" t="str">
        <f t="shared" si="1"/>
        <v>nte: 2340 / Nombre d</v>
      </c>
      <c r="P38" t="str">
        <f t="shared" si="2"/>
        <v>747</v>
      </c>
      <c r="Q38" s="5" t="str">
        <f t="shared" si="3"/>
        <v>2340</v>
      </c>
    </row>
    <row r="39" spans="1:17" x14ac:dyDescent="0.25">
      <c r="A39" s="2" t="s">
        <v>171</v>
      </c>
      <c r="B39" s="2" t="s">
        <v>85</v>
      </c>
      <c r="C39" s="2" t="s">
        <v>172</v>
      </c>
      <c r="D39" s="2" t="s">
        <v>173</v>
      </c>
      <c r="E39" s="2" t="s">
        <v>30</v>
      </c>
      <c r="F39" s="2" t="s">
        <v>21</v>
      </c>
      <c r="G39" s="2" t="s">
        <v>22</v>
      </c>
      <c r="H39" s="2" t="s">
        <v>174</v>
      </c>
      <c r="I39" s="2" t="s">
        <v>24</v>
      </c>
      <c r="J39" s="2">
        <v>6.96</v>
      </c>
      <c r="K39" s="2" t="s">
        <v>175</v>
      </c>
      <c r="L39" s="2"/>
      <c r="M39" s="2" t="str">
        <f t="shared" si="0"/>
        <v>3100</v>
      </c>
      <c r="N39" s="2" t="s">
        <v>176</v>
      </c>
      <c r="O39" s="2" t="str">
        <f t="shared" si="1"/>
        <v>E: 3100 - EDIF: CAJA</v>
      </c>
      <c r="P39" t="str">
        <f t="shared" si="2"/>
        <v>744</v>
      </c>
      <c r="Q39" s="5" t="str">
        <f t="shared" si="3"/>
        <v>3100</v>
      </c>
    </row>
    <row r="40" spans="1:17" x14ac:dyDescent="0.25">
      <c r="A40" s="2" t="s">
        <v>177</v>
      </c>
      <c r="B40" s="2" t="s">
        <v>85</v>
      </c>
      <c r="C40" s="2" t="s">
        <v>178</v>
      </c>
      <c r="D40" s="2" t="s">
        <v>89</v>
      </c>
      <c r="E40" s="2" t="s">
        <v>179</v>
      </c>
      <c r="F40" s="2" t="s">
        <v>21</v>
      </c>
      <c r="G40" s="2" t="s">
        <v>22</v>
      </c>
      <c r="H40" s="2" t="s">
        <v>73</v>
      </c>
      <c r="I40" s="2" t="s">
        <v>24</v>
      </c>
      <c r="J40" s="2">
        <v>6.96</v>
      </c>
      <c r="K40" s="2" t="s">
        <v>32</v>
      </c>
      <c r="L40" s="2"/>
      <c r="M40" s="2" t="str">
        <f t="shared" si="0"/>
        <v>4019</v>
      </c>
      <c r="N40" s="2" t="s">
        <v>91</v>
      </c>
      <c r="O40" s="2" t="str">
        <f t="shared" si="1"/>
        <v xml:space="preserve">E: 4019 - EDIFICIO: </v>
      </c>
      <c r="P40" t="str">
        <f t="shared" si="2"/>
        <v>749</v>
      </c>
      <c r="Q40" s="5" t="str">
        <f t="shared" si="3"/>
        <v>4019</v>
      </c>
    </row>
    <row r="41" spans="1:17" x14ac:dyDescent="0.25">
      <c r="A41" s="2" t="s">
        <v>180</v>
      </c>
      <c r="B41" s="2" t="s">
        <v>17</v>
      </c>
      <c r="C41" s="2" t="s">
        <v>181</v>
      </c>
      <c r="D41" s="2" t="s">
        <v>182</v>
      </c>
      <c r="E41" s="2" t="s">
        <v>30</v>
      </c>
      <c r="F41" s="2" t="s">
        <v>21</v>
      </c>
      <c r="G41" s="2" t="s">
        <v>22</v>
      </c>
      <c r="H41" s="2" t="s">
        <v>183</v>
      </c>
      <c r="I41" s="2" t="s">
        <v>24</v>
      </c>
      <c r="J41" s="2">
        <v>6.96</v>
      </c>
      <c r="K41" s="2" t="s">
        <v>184</v>
      </c>
      <c r="L41" s="2"/>
      <c r="M41" s="2" t="str">
        <f t="shared" si="0"/>
        <v>3055</v>
      </c>
      <c r="N41" s="2" t="s">
        <v>185</v>
      </c>
      <c r="O41" s="2" t="str">
        <f t="shared" si="1"/>
        <v>E: 3055 - EDIF: COND</v>
      </c>
      <c r="P41" t="str">
        <f t="shared" si="2"/>
        <v>757</v>
      </c>
      <c r="Q41" s="5" t="str">
        <f t="shared" si="3"/>
        <v>3055</v>
      </c>
    </row>
    <row r="42" spans="1:17" x14ac:dyDescent="0.25">
      <c r="A42" s="2" t="s">
        <v>186</v>
      </c>
      <c r="B42" s="2" t="s">
        <v>17</v>
      </c>
      <c r="C42" s="2" t="s">
        <v>187</v>
      </c>
      <c r="D42" s="2" t="s">
        <v>188</v>
      </c>
      <c r="E42" s="2" t="s">
        <v>36</v>
      </c>
      <c r="F42" s="2" t="s">
        <v>21</v>
      </c>
      <c r="G42" s="2" t="s">
        <v>22</v>
      </c>
      <c r="H42" s="2" t="s">
        <v>189</v>
      </c>
      <c r="I42" s="2" t="s">
        <v>24</v>
      </c>
      <c r="J42" s="2">
        <v>6.96</v>
      </c>
      <c r="K42" s="2" t="s">
        <v>190</v>
      </c>
      <c r="L42" s="2"/>
      <c r="M42" s="2" t="str">
        <f t="shared" si="0"/>
        <v>3036</v>
      </c>
      <c r="N42" s="2" t="s">
        <v>191</v>
      </c>
      <c r="O42" s="2" t="str">
        <f t="shared" si="1"/>
        <v>E: 3036 - EDIF: TAUR</v>
      </c>
      <c r="P42" t="str">
        <f t="shared" si="2"/>
        <v>756</v>
      </c>
      <c r="Q42" s="5" t="str">
        <f t="shared" si="3"/>
        <v>3036</v>
      </c>
    </row>
    <row r="43" spans="1:17" x14ac:dyDescent="0.25">
      <c r="A43" s="2" t="s">
        <v>192</v>
      </c>
      <c r="B43" s="2" t="s">
        <v>85</v>
      </c>
      <c r="C43" s="2" t="s">
        <v>193</v>
      </c>
      <c r="D43" s="2" t="s">
        <v>194</v>
      </c>
      <c r="E43" s="2" t="s">
        <v>30</v>
      </c>
      <c r="F43" s="2" t="s">
        <v>21</v>
      </c>
      <c r="G43" s="2" t="s">
        <v>22</v>
      </c>
      <c r="H43" s="2" t="s">
        <v>189</v>
      </c>
      <c r="I43" s="2" t="s">
        <v>24</v>
      </c>
      <c r="J43" s="2">
        <v>6.96</v>
      </c>
      <c r="K43" s="2" t="s">
        <v>195</v>
      </c>
      <c r="L43" s="2"/>
      <c r="M43" s="2" t="str">
        <f t="shared" si="0"/>
        <v>3129</v>
      </c>
      <c r="N43" s="2" t="s">
        <v>196</v>
      </c>
      <c r="O43" s="2" t="str">
        <f t="shared" si="1"/>
        <v>E: 3129 - EDIF: EMEL</v>
      </c>
      <c r="P43" t="str">
        <f t="shared" si="2"/>
        <v>752</v>
      </c>
      <c r="Q43" s="5" t="str">
        <f t="shared" si="3"/>
        <v>3129</v>
      </c>
    </row>
    <row r="44" spans="1:17" x14ac:dyDescent="0.25">
      <c r="A44" s="2" t="s">
        <v>197</v>
      </c>
      <c r="B44" s="2" t="s">
        <v>85</v>
      </c>
      <c r="C44" s="2" t="s">
        <v>198</v>
      </c>
      <c r="D44" s="2" t="s">
        <v>199</v>
      </c>
      <c r="E44" s="2" t="s">
        <v>30</v>
      </c>
      <c r="F44" s="2" t="s">
        <v>21</v>
      </c>
      <c r="G44" s="2" t="s">
        <v>22</v>
      </c>
      <c r="H44" s="2" t="s">
        <v>17</v>
      </c>
      <c r="I44" s="2" t="s">
        <v>24</v>
      </c>
      <c r="J44" s="2">
        <v>6.96</v>
      </c>
      <c r="K44" s="2" t="s">
        <v>143</v>
      </c>
      <c r="L44" s="2">
        <v>52459</v>
      </c>
      <c r="M44" s="2" t="str">
        <f t="shared" si="0"/>
        <v>2217</v>
      </c>
      <c r="N44" s="2" t="s">
        <v>200</v>
      </c>
      <c r="O44" s="2" t="str">
        <f t="shared" si="1"/>
        <v>nte: 2217 / Nombre d</v>
      </c>
      <c r="P44" t="str">
        <f t="shared" si="2"/>
        <v>743</v>
      </c>
      <c r="Q44" s="5" t="str">
        <f t="shared" si="3"/>
        <v>2217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1"/>
  <sheetViews>
    <sheetView tabSelected="1" topLeftCell="D17" workbookViewId="0">
      <selection activeCell="M17" sqref="M1:M1048576"/>
    </sheetView>
  </sheetViews>
  <sheetFormatPr baseColWidth="10" defaultRowHeight="15" x14ac:dyDescent="0.25"/>
  <cols>
    <col min="14" max="14" width="92.42578125" customWidth="1"/>
  </cols>
  <sheetData>
    <row r="1" spans="1:19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205</v>
      </c>
      <c r="P1" t="s">
        <v>208</v>
      </c>
      <c r="Q1" s="7" t="s">
        <v>239</v>
      </c>
      <c r="R1" s="7" t="s">
        <v>240</v>
      </c>
      <c r="S1" s="7" t="s">
        <v>241</v>
      </c>
    </row>
    <row r="2" spans="1:19" x14ac:dyDescent="0.25">
      <c r="A2" t="s">
        <v>16</v>
      </c>
      <c r="B2" s="6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>
        <v>6.96</v>
      </c>
      <c r="K2" t="s">
        <v>25</v>
      </c>
      <c r="L2">
        <v>52512</v>
      </c>
      <c r="M2" t="s">
        <v>209</v>
      </c>
      <c r="N2" t="s">
        <v>26</v>
      </c>
      <c r="O2" t="str">
        <f>EXTRAEX(N2,1)</f>
        <v>R - :CODIGO CLIENTE:  - EDIFICIO: VENTURA R - :CODIGO CLIENTE:  - EDIFICIO: VENTURA</v>
      </c>
      <c r="Q2">
        <f>YEAR(B2)</f>
        <v>2020</v>
      </c>
    </row>
    <row r="3" spans="1:19" x14ac:dyDescent="0.25">
      <c r="A3" t="s">
        <v>27</v>
      </c>
      <c r="B3" s="6" t="s">
        <v>17</v>
      </c>
      <c r="C3" t="s">
        <v>28</v>
      </c>
      <c r="D3" t="s">
        <v>29</v>
      </c>
      <c r="E3" t="s">
        <v>30</v>
      </c>
      <c r="F3" t="s">
        <v>21</v>
      </c>
      <c r="G3" t="s">
        <v>22</v>
      </c>
      <c r="H3" t="s">
        <v>31</v>
      </c>
      <c r="I3" t="s">
        <v>24</v>
      </c>
      <c r="J3">
        <v>6.96</v>
      </c>
      <c r="K3" t="s">
        <v>32</v>
      </c>
      <c r="L3">
        <v>52509</v>
      </c>
      <c r="M3" t="s">
        <v>210</v>
      </c>
      <c r="N3" t="s">
        <v>33</v>
      </c>
    </row>
    <row r="4" spans="1:19" x14ac:dyDescent="0.25">
      <c r="A4" t="s">
        <v>34</v>
      </c>
      <c r="B4" s="6" t="s">
        <v>17</v>
      </c>
      <c r="C4" t="s">
        <v>35</v>
      </c>
      <c r="D4" t="s">
        <v>29</v>
      </c>
      <c r="E4" t="s">
        <v>36</v>
      </c>
      <c r="F4" t="s">
        <v>21</v>
      </c>
      <c r="G4" t="s">
        <v>22</v>
      </c>
      <c r="H4" t="s">
        <v>31</v>
      </c>
      <c r="I4" t="s">
        <v>24</v>
      </c>
      <c r="J4">
        <v>6.96</v>
      </c>
      <c r="K4" t="s">
        <v>32</v>
      </c>
      <c r="L4">
        <v>52508</v>
      </c>
      <c r="M4" t="s">
        <v>210</v>
      </c>
      <c r="N4" t="s">
        <v>33</v>
      </c>
    </row>
    <row r="5" spans="1:19" x14ac:dyDescent="0.25">
      <c r="A5" t="s">
        <v>37</v>
      </c>
      <c r="B5" s="6" t="s">
        <v>17</v>
      </c>
      <c r="C5" t="s">
        <v>38</v>
      </c>
      <c r="D5" t="s">
        <v>39</v>
      </c>
      <c r="E5" t="s">
        <v>30</v>
      </c>
      <c r="F5" t="s">
        <v>21</v>
      </c>
      <c r="G5" t="s">
        <v>22</v>
      </c>
      <c r="H5" t="s">
        <v>40</v>
      </c>
      <c r="I5" t="s">
        <v>24</v>
      </c>
      <c r="J5">
        <v>6.96</v>
      </c>
      <c r="K5" t="s">
        <v>41</v>
      </c>
      <c r="L5">
        <v>52506</v>
      </c>
      <c r="M5" t="s">
        <v>211</v>
      </c>
      <c r="N5" t="s">
        <v>42</v>
      </c>
    </row>
    <row r="6" spans="1:19" x14ac:dyDescent="0.25">
      <c r="A6" t="s">
        <v>43</v>
      </c>
      <c r="B6" s="6" t="s">
        <v>17</v>
      </c>
      <c r="C6" t="s">
        <v>44</v>
      </c>
      <c r="D6" t="s">
        <v>45</v>
      </c>
      <c r="E6" t="s">
        <v>46</v>
      </c>
      <c r="F6" t="s">
        <v>21</v>
      </c>
      <c r="G6" t="s">
        <v>22</v>
      </c>
      <c r="H6" t="s">
        <v>47</v>
      </c>
      <c r="I6" t="s">
        <v>24</v>
      </c>
      <c r="J6">
        <v>6.96</v>
      </c>
      <c r="K6" t="s">
        <v>48</v>
      </c>
      <c r="L6">
        <v>52356</v>
      </c>
      <c r="M6" t="s">
        <v>212</v>
      </c>
      <c r="N6" t="s">
        <v>49</v>
      </c>
    </row>
    <row r="7" spans="1:19" x14ac:dyDescent="0.25">
      <c r="A7" t="s">
        <v>50</v>
      </c>
      <c r="B7" s="6" t="s">
        <v>17</v>
      </c>
      <c r="C7" t="s">
        <v>51</v>
      </c>
      <c r="D7" t="s">
        <v>52</v>
      </c>
      <c r="E7" t="s">
        <v>30</v>
      </c>
      <c r="F7" t="s">
        <v>21</v>
      </c>
      <c r="G7" t="s">
        <v>22</v>
      </c>
      <c r="H7" t="s">
        <v>40</v>
      </c>
      <c r="I7" t="s">
        <v>24</v>
      </c>
      <c r="J7">
        <v>6.96</v>
      </c>
      <c r="K7" t="s">
        <v>53</v>
      </c>
      <c r="L7">
        <v>52505</v>
      </c>
      <c r="M7" t="s">
        <v>213</v>
      </c>
      <c r="N7" t="s">
        <v>54</v>
      </c>
    </row>
    <row r="8" spans="1:19" x14ac:dyDescent="0.25">
      <c r="A8" t="s">
        <v>55</v>
      </c>
      <c r="B8" s="6" t="s">
        <v>17</v>
      </c>
      <c r="C8" t="s">
        <v>56</v>
      </c>
      <c r="D8" t="s">
        <v>45</v>
      </c>
      <c r="E8" t="s">
        <v>57</v>
      </c>
      <c r="F8" t="s">
        <v>21</v>
      </c>
      <c r="G8" t="s">
        <v>22</v>
      </c>
      <c r="H8" t="s">
        <v>47</v>
      </c>
      <c r="I8" t="s">
        <v>24</v>
      </c>
      <c r="J8">
        <v>6.96</v>
      </c>
      <c r="K8" t="s">
        <v>58</v>
      </c>
      <c r="L8">
        <v>52491</v>
      </c>
      <c r="M8" t="s">
        <v>212</v>
      </c>
      <c r="N8" t="s">
        <v>49</v>
      </c>
    </row>
    <row r="9" spans="1:19" x14ac:dyDescent="0.25">
      <c r="A9" t="s">
        <v>59</v>
      </c>
      <c r="B9" s="6" t="s">
        <v>17</v>
      </c>
      <c r="C9" t="s">
        <v>60</v>
      </c>
      <c r="D9" t="s">
        <v>61</v>
      </c>
      <c r="E9" t="s">
        <v>30</v>
      </c>
      <c r="F9" t="s">
        <v>21</v>
      </c>
      <c r="G9" t="s">
        <v>22</v>
      </c>
      <c r="H9" t="s">
        <v>47</v>
      </c>
      <c r="I9" t="s">
        <v>24</v>
      </c>
      <c r="J9">
        <v>6.96</v>
      </c>
      <c r="K9" t="s">
        <v>62</v>
      </c>
      <c r="L9">
        <v>52503</v>
      </c>
      <c r="M9" t="s">
        <v>214</v>
      </c>
      <c r="N9" t="s">
        <v>63</v>
      </c>
    </row>
    <row r="10" spans="1:19" x14ac:dyDescent="0.25">
      <c r="A10" t="s">
        <v>64</v>
      </c>
      <c r="B10" s="6" t="s">
        <v>17</v>
      </c>
      <c r="C10" t="s">
        <v>65</v>
      </c>
      <c r="D10" t="s">
        <v>66</v>
      </c>
      <c r="E10" t="s">
        <v>30</v>
      </c>
      <c r="F10" t="s">
        <v>21</v>
      </c>
      <c r="G10" t="s">
        <v>22</v>
      </c>
      <c r="H10" t="s">
        <v>40</v>
      </c>
      <c r="I10" t="s">
        <v>24</v>
      </c>
      <c r="J10">
        <v>6.96</v>
      </c>
      <c r="K10" t="s">
        <v>32</v>
      </c>
      <c r="L10">
        <v>52501</v>
      </c>
      <c r="M10" t="s">
        <v>215</v>
      </c>
      <c r="N10" t="s">
        <v>67</v>
      </c>
    </row>
    <row r="11" spans="1:19" x14ac:dyDescent="0.25">
      <c r="A11" t="s">
        <v>68</v>
      </c>
      <c r="B11" s="6" t="s">
        <v>17</v>
      </c>
      <c r="C11" t="s">
        <v>69</v>
      </c>
      <c r="D11" t="s">
        <v>66</v>
      </c>
      <c r="E11" t="s">
        <v>36</v>
      </c>
      <c r="F11" t="s">
        <v>21</v>
      </c>
      <c r="G11" t="s">
        <v>22</v>
      </c>
      <c r="H11" t="s">
        <v>40</v>
      </c>
      <c r="I11" t="s">
        <v>24</v>
      </c>
      <c r="J11">
        <v>6.96</v>
      </c>
      <c r="K11" t="s">
        <v>32</v>
      </c>
      <c r="L11">
        <v>52500</v>
      </c>
      <c r="M11" t="s">
        <v>215</v>
      </c>
      <c r="N11" t="s">
        <v>67</v>
      </c>
    </row>
    <row r="12" spans="1:19" x14ac:dyDescent="0.25">
      <c r="A12" t="s">
        <v>70</v>
      </c>
      <c r="B12" s="6" t="s">
        <v>17</v>
      </c>
      <c r="C12" t="s">
        <v>71</v>
      </c>
      <c r="D12" t="s">
        <v>72</v>
      </c>
      <c r="E12" t="s">
        <v>30</v>
      </c>
      <c r="F12" t="s">
        <v>21</v>
      </c>
      <c r="G12" t="s">
        <v>22</v>
      </c>
      <c r="H12" t="s">
        <v>73</v>
      </c>
      <c r="I12" t="s">
        <v>24</v>
      </c>
      <c r="J12">
        <v>6.96</v>
      </c>
      <c r="K12" t="s">
        <v>74</v>
      </c>
      <c r="L12">
        <v>52499</v>
      </c>
      <c r="M12" t="s">
        <v>216</v>
      </c>
      <c r="N12" t="s">
        <v>75</v>
      </c>
    </row>
    <row r="13" spans="1:19" x14ac:dyDescent="0.25">
      <c r="A13" t="s">
        <v>76</v>
      </c>
      <c r="B13" s="6" t="s">
        <v>17</v>
      </c>
      <c r="C13" t="s">
        <v>77</v>
      </c>
      <c r="D13" t="s">
        <v>72</v>
      </c>
      <c r="E13" t="s">
        <v>36</v>
      </c>
      <c r="F13" t="s">
        <v>21</v>
      </c>
      <c r="G13" t="s">
        <v>22</v>
      </c>
      <c r="H13" t="s">
        <v>73</v>
      </c>
      <c r="I13" t="s">
        <v>24</v>
      </c>
      <c r="J13">
        <v>6.96</v>
      </c>
      <c r="K13" t="s">
        <v>74</v>
      </c>
      <c r="L13">
        <v>52489</v>
      </c>
      <c r="M13" t="s">
        <v>216</v>
      </c>
      <c r="N13" t="s">
        <v>75</v>
      </c>
    </row>
    <row r="14" spans="1:19" x14ac:dyDescent="0.25">
      <c r="A14" t="s">
        <v>78</v>
      </c>
      <c r="B14" s="6" t="s">
        <v>17</v>
      </c>
      <c r="C14" t="s">
        <v>79</v>
      </c>
      <c r="D14" t="s">
        <v>80</v>
      </c>
      <c r="E14" t="s">
        <v>30</v>
      </c>
      <c r="F14" t="s">
        <v>21</v>
      </c>
      <c r="G14" t="s">
        <v>22</v>
      </c>
      <c r="H14" t="s">
        <v>81</v>
      </c>
      <c r="I14" t="s">
        <v>24</v>
      </c>
      <c r="J14">
        <v>6.96</v>
      </c>
      <c r="K14" t="s">
        <v>82</v>
      </c>
      <c r="L14">
        <v>52484</v>
      </c>
      <c r="M14" t="s">
        <v>217</v>
      </c>
      <c r="N14" t="s">
        <v>83</v>
      </c>
    </row>
    <row r="15" spans="1:19" x14ac:dyDescent="0.25">
      <c r="A15" t="s">
        <v>84</v>
      </c>
      <c r="B15" s="6" t="s">
        <v>85</v>
      </c>
      <c r="C15" t="s">
        <v>86</v>
      </c>
      <c r="D15" t="s">
        <v>80</v>
      </c>
      <c r="E15" t="s">
        <v>36</v>
      </c>
      <c r="F15" t="s">
        <v>21</v>
      </c>
      <c r="G15" t="s">
        <v>22</v>
      </c>
      <c r="H15" t="s">
        <v>47</v>
      </c>
      <c r="I15" t="s">
        <v>24</v>
      </c>
      <c r="J15">
        <v>6.96</v>
      </c>
      <c r="K15" t="s">
        <v>82</v>
      </c>
      <c r="L15">
        <v>52483</v>
      </c>
      <c r="M15" t="s">
        <v>217</v>
      </c>
      <c r="N15" t="s">
        <v>83</v>
      </c>
    </row>
    <row r="16" spans="1:19" x14ac:dyDescent="0.25">
      <c r="A16" t="s">
        <v>87</v>
      </c>
      <c r="B16" s="6" t="s">
        <v>85</v>
      </c>
      <c r="C16" t="s">
        <v>88</v>
      </c>
      <c r="D16" t="s">
        <v>89</v>
      </c>
      <c r="E16" t="s">
        <v>36</v>
      </c>
      <c r="F16" t="s">
        <v>21</v>
      </c>
      <c r="G16" t="s">
        <v>22</v>
      </c>
      <c r="H16" t="s">
        <v>90</v>
      </c>
      <c r="I16" t="s">
        <v>24</v>
      </c>
      <c r="J16">
        <v>6.96</v>
      </c>
      <c r="K16" t="s">
        <v>32</v>
      </c>
      <c r="M16" t="s">
        <v>218</v>
      </c>
      <c r="N16" t="s">
        <v>91</v>
      </c>
    </row>
    <row r="17" spans="1:14" x14ac:dyDescent="0.25">
      <c r="A17" t="s">
        <v>92</v>
      </c>
      <c r="B17" s="6" t="s">
        <v>85</v>
      </c>
      <c r="C17" t="s">
        <v>93</v>
      </c>
      <c r="D17" t="s">
        <v>94</v>
      </c>
      <c r="E17" t="s">
        <v>36</v>
      </c>
      <c r="F17" t="s">
        <v>21</v>
      </c>
      <c r="G17" t="s">
        <v>22</v>
      </c>
      <c r="H17" t="s">
        <v>47</v>
      </c>
      <c r="I17" t="s">
        <v>24</v>
      </c>
      <c r="J17">
        <v>6.96</v>
      </c>
      <c r="K17" t="s">
        <v>95</v>
      </c>
      <c r="L17">
        <v>52479</v>
      </c>
      <c r="M17" t="s">
        <v>219</v>
      </c>
      <c r="N17" t="s">
        <v>96</v>
      </c>
    </row>
    <row r="18" spans="1:14" x14ac:dyDescent="0.25">
      <c r="A18" t="s">
        <v>97</v>
      </c>
      <c r="B18" s="6" t="s">
        <v>85</v>
      </c>
      <c r="C18" t="s">
        <v>98</v>
      </c>
      <c r="D18" t="s">
        <v>99</v>
      </c>
      <c r="E18" t="s">
        <v>30</v>
      </c>
      <c r="F18" t="s">
        <v>21</v>
      </c>
      <c r="G18" t="s">
        <v>22</v>
      </c>
      <c r="H18" t="s">
        <v>47</v>
      </c>
      <c r="I18" t="s">
        <v>24</v>
      </c>
      <c r="J18">
        <v>6.96</v>
      </c>
      <c r="K18" t="s">
        <v>100</v>
      </c>
      <c r="L18">
        <v>52474</v>
      </c>
      <c r="M18" t="s">
        <v>220</v>
      </c>
      <c r="N18" t="s">
        <v>101</v>
      </c>
    </row>
    <row r="19" spans="1:14" x14ac:dyDescent="0.25">
      <c r="A19" t="s">
        <v>102</v>
      </c>
      <c r="B19" s="6" t="s">
        <v>85</v>
      </c>
      <c r="C19" t="s">
        <v>103</v>
      </c>
      <c r="D19" t="s">
        <v>104</v>
      </c>
      <c r="E19" t="s">
        <v>30</v>
      </c>
      <c r="F19" t="s">
        <v>21</v>
      </c>
      <c r="G19" t="s">
        <v>22</v>
      </c>
      <c r="H19" t="s">
        <v>105</v>
      </c>
      <c r="I19" t="s">
        <v>24</v>
      </c>
      <c r="J19">
        <v>6.96</v>
      </c>
      <c r="K19" t="s">
        <v>100</v>
      </c>
      <c r="L19">
        <v>52472</v>
      </c>
      <c r="M19" t="s">
        <v>221</v>
      </c>
      <c r="N19" t="s">
        <v>106</v>
      </c>
    </row>
    <row r="20" spans="1:14" x14ac:dyDescent="0.25">
      <c r="A20" t="s">
        <v>107</v>
      </c>
      <c r="B20" s="6" t="s">
        <v>85</v>
      </c>
      <c r="C20" t="s">
        <v>108</v>
      </c>
      <c r="D20" t="s">
        <v>104</v>
      </c>
      <c r="E20" t="s">
        <v>36</v>
      </c>
      <c r="F20" t="s">
        <v>21</v>
      </c>
      <c r="G20" t="s">
        <v>22</v>
      </c>
      <c r="H20" t="s">
        <v>105</v>
      </c>
      <c r="I20" t="s">
        <v>24</v>
      </c>
      <c r="J20">
        <v>6.96</v>
      </c>
      <c r="K20" t="s">
        <v>100</v>
      </c>
      <c r="L20">
        <v>52471</v>
      </c>
      <c r="M20" t="s">
        <v>221</v>
      </c>
      <c r="N20" t="s">
        <v>106</v>
      </c>
    </row>
    <row r="21" spans="1:14" x14ac:dyDescent="0.25">
      <c r="A21" t="s">
        <v>109</v>
      </c>
      <c r="B21" s="6" t="s">
        <v>85</v>
      </c>
      <c r="C21" t="s">
        <v>110</v>
      </c>
      <c r="D21" t="s">
        <v>111</v>
      </c>
      <c r="E21" t="s">
        <v>30</v>
      </c>
      <c r="F21" t="s">
        <v>21</v>
      </c>
      <c r="G21" t="s">
        <v>22</v>
      </c>
      <c r="H21" t="s">
        <v>47</v>
      </c>
      <c r="I21" t="s">
        <v>24</v>
      </c>
      <c r="J21">
        <v>6.96</v>
      </c>
      <c r="K21" t="s">
        <v>112</v>
      </c>
      <c r="L21">
        <v>52469</v>
      </c>
      <c r="M21" t="s">
        <v>222</v>
      </c>
      <c r="N21" t="s">
        <v>113</v>
      </c>
    </row>
    <row r="22" spans="1:14" x14ac:dyDescent="0.25">
      <c r="A22" t="s">
        <v>114</v>
      </c>
      <c r="B22" s="6" t="s">
        <v>85</v>
      </c>
      <c r="C22" t="s">
        <v>115</v>
      </c>
      <c r="D22" t="s">
        <v>116</v>
      </c>
      <c r="E22" t="s">
        <v>30</v>
      </c>
      <c r="F22" t="s">
        <v>21</v>
      </c>
      <c r="G22" t="s">
        <v>22</v>
      </c>
      <c r="H22" t="s">
        <v>47</v>
      </c>
      <c r="I22" t="s">
        <v>24</v>
      </c>
      <c r="J22">
        <v>6.96</v>
      </c>
      <c r="K22" t="s">
        <v>117</v>
      </c>
      <c r="L22">
        <v>52468</v>
      </c>
      <c r="M22" t="s">
        <v>223</v>
      </c>
      <c r="N22" t="s">
        <v>118</v>
      </c>
    </row>
    <row r="23" spans="1:14" x14ac:dyDescent="0.25">
      <c r="A23" t="s">
        <v>119</v>
      </c>
      <c r="B23" s="6" t="s">
        <v>85</v>
      </c>
      <c r="C23" t="s">
        <v>120</v>
      </c>
      <c r="D23" t="s">
        <v>121</v>
      </c>
      <c r="E23" t="s">
        <v>36</v>
      </c>
      <c r="F23" t="s">
        <v>21</v>
      </c>
      <c r="G23" t="s">
        <v>22</v>
      </c>
      <c r="H23" t="s">
        <v>73</v>
      </c>
      <c r="I23" t="s">
        <v>24</v>
      </c>
      <c r="J23">
        <v>6.96</v>
      </c>
      <c r="K23" t="s">
        <v>122</v>
      </c>
      <c r="L23">
        <v>52461</v>
      </c>
      <c r="M23" t="s">
        <v>224</v>
      </c>
      <c r="N23" t="s">
        <v>123</v>
      </c>
    </row>
    <row r="24" spans="1:14" x14ac:dyDescent="0.25">
      <c r="A24" t="s">
        <v>124</v>
      </c>
      <c r="B24" s="6" t="s">
        <v>85</v>
      </c>
      <c r="C24" t="s">
        <v>125</v>
      </c>
      <c r="D24" t="s">
        <v>126</v>
      </c>
      <c r="E24" t="s">
        <v>30</v>
      </c>
      <c r="F24" t="s">
        <v>21</v>
      </c>
      <c r="G24" t="s">
        <v>22</v>
      </c>
      <c r="H24" t="s">
        <v>47</v>
      </c>
      <c r="I24" t="s">
        <v>24</v>
      </c>
      <c r="J24">
        <v>6.96</v>
      </c>
      <c r="K24" t="s">
        <v>62</v>
      </c>
      <c r="L24">
        <v>52467</v>
      </c>
      <c r="M24" t="s">
        <v>225</v>
      </c>
      <c r="N24" t="s">
        <v>127</v>
      </c>
    </row>
    <row r="25" spans="1:14" x14ac:dyDescent="0.25">
      <c r="A25" t="s">
        <v>128</v>
      </c>
      <c r="B25" s="6" t="s">
        <v>85</v>
      </c>
      <c r="C25" t="s">
        <v>129</v>
      </c>
      <c r="D25" t="s">
        <v>130</v>
      </c>
      <c r="E25" t="s">
        <v>36</v>
      </c>
      <c r="F25" t="s">
        <v>21</v>
      </c>
      <c r="G25" t="s">
        <v>22</v>
      </c>
      <c r="H25" t="s">
        <v>73</v>
      </c>
      <c r="I25" t="s">
        <v>24</v>
      </c>
      <c r="J25">
        <v>6.96</v>
      </c>
      <c r="K25" t="s">
        <v>131</v>
      </c>
      <c r="L25">
        <v>52466</v>
      </c>
      <c r="M25" t="s">
        <v>226</v>
      </c>
      <c r="N25" t="s">
        <v>132</v>
      </c>
    </row>
    <row r="26" spans="1:14" x14ac:dyDescent="0.25">
      <c r="A26" t="s">
        <v>133</v>
      </c>
      <c r="B26" s="6" t="s">
        <v>85</v>
      </c>
      <c r="C26" t="s">
        <v>134</v>
      </c>
      <c r="D26" t="s">
        <v>135</v>
      </c>
      <c r="E26" t="s">
        <v>30</v>
      </c>
      <c r="F26" t="s">
        <v>21</v>
      </c>
      <c r="G26" t="s">
        <v>22</v>
      </c>
      <c r="H26" t="s">
        <v>47</v>
      </c>
      <c r="I26" t="s">
        <v>24</v>
      </c>
      <c r="J26">
        <v>6.96</v>
      </c>
      <c r="K26" t="s">
        <v>136</v>
      </c>
      <c r="L26">
        <v>52465</v>
      </c>
      <c r="M26" t="s">
        <v>227</v>
      </c>
      <c r="N26" t="s">
        <v>137</v>
      </c>
    </row>
    <row r="27" spans="1:14" x14ac:dyDescent="0.25">
      <c r="A27" t="s">
        <v>138</v>
      </c>
      <c r="B27" s="6" t="s">
        <v>85</v>
      </c>
      <c r="C27" t="s">
        <v>139</v>
      </c>
      <c r="D27" t="s">
        <v>135</v>
      </c>
      <c r="E27" t="s">
        <v>36</v>
      </c>
      <c r="F27" t="s">
        <v>21</v>
      </c>
      <c r="G27" t="s">
        <v>22</v>
      </c>
      <c r="H27" t="s">
        <v>47</v>
      </c>
      <c r="I27" t="s">
        <v>24</v>
      </c>
      <c r="J27">
        <v>6.96</v>
      </c>
      <c r="K27" t="s">
        <v>136</v>
      </c>
      <c r="L27">
        <v>52464</v>
      </c>
      <c r="M27" t="s">
        <v>227</v>
      </c>
      <c r="N27" t="s">
        <v>137</v>
      </c>
    </row>
    <row r="28" spans="1:14" x14ac:dyDescent="0.25">
      <c r="A28" t="s">
        <v>140</v>
      </c>
      <c r="B28" s="6" t="s">
        <v>85</v>
      </c>
      <c r="C28" t="s">
        <v>141</v>
      </c>
      <c r="D28" t="s">
        <v>142</v>
      </c>
      <c r="E28" t="s">
        <v>30</v>
      </c>
      <c r="F28" t="s">
        <v>21</v>
      </c>
      <c r="G28" t="s">
        <v>22</v>
      </c>
      <c r="H28" t="s">
        <v>47</v>
      </c>
      <c r="I28" t="s">
        <v>24</v>
      </c>
      <c r="J28">
        <v>6.96</v>
      </c>
      <c r="K28" t="s">
        <v>143</v>
      </c>
      <c r="L28">
        <v>52455</v>
      </c>
      <c r="M28" t="s">
        <v>228</v>
      </c>
      <c r="N28" t="s">
        <v>144</v>
      </c>
    </row>
    <row r="29" spans="1:14" x14ac:dyDescent="0.25">
      <c r="A29" t="s">
        <v>145</v>
      </c>
      <c r="B29" s="6" t="s">
        <v>85</v>
      </c>
      <c r="C29" t="s">
        <v>146</v>
      </c>
      <c r="D29" t="s">
        <v>142</v>
      </c>
      <c r="E29" t="s">
        <v>36</v>
      </c>
      <c r="F29" t="s">
        <v>21</v>
      </c>
      <c r="G29" t="s">
        <v>22</v>
      </c>
      <c r="H29" t="s">
        <v>47</v>
      </c>
      <c r="I29" t="s">
        <v>24</v>
      </c>
      <c r="J29">
        <v>6.96</v>
      </c>
      <c r="K29" t="s">
        <v>143</v>
      </c>
      <c r="L29">
        <v>52453</v>
      </c>
      <c r="M29" t="s">
        <v>228</v>
      </c>
      <c r="N29" t="s">
        <v>144</v>
      </c>
    </row>
    <row r="30" spans="1:14" x14ac:dyDescent="0.25">
      <c r="A30" t="s">
        <v>147</v>
      </c>
      <c r="B30" s="6" t="s">
        <v>85</v>
      </c>
      <c r="C30" t="s">
        <v>148</v>
      </c>
      <c r="D30" t="s">
        <v>149</v>
      </c>
      <c r="E30" t="s">
        <v>150</v>
      </c>
      <c r="F30" t="s">
        <v>21</v>
      </c>
      <c r="G30" t="s">
        <v>22</v>
      </c>
      <c r="H30" t="s">
        <v>47</v>
      </c>
      <c r="I30" t="s">
        <v>24</v>
      </c>
      <c r="J30">
        <v>6.96</v>
      </c>
      <c r="K30" t="s">
        <v>151</v>
      </c>
      <c r="L30">
        <v>52454</v>
      </c>
      <c r="M30" t="s">
        <v>229</v>
      </c>
      <c r="N30" t="s">
        <v>152</v>
      </c>
    </row>
    <row r="31" spans="1:14" x14ac:dyDescent="0.25">
      <c r="A31" t="s">
        <v>153</v>
      </c>
      <c r="B31" s="6" t="s">
        <v>85</v>
      </c>
      <c r="C31" t="s">
        <v>154</v>
      </c>
      <c r="D31" t="s">
        <v>155</v>
      </c>
      <c r="E31" t="s">
        <v>30</v>
      </c>
      <c r="F31" t="s">
        <v>21</v>
      </c>
      <c r="G31" t="s">
        <v>22</v>
      </c>
      <c r="H31" t="s">
        <v>47</v>
      </c>
      <c r="I31" t="s">
        <v>24</v>
      </c>
      <c r="J31">
        <v>6.96</v>
      </c>
      <c r="K31" t="s">
        <v>131</v>
      </c>
      <c r="M31" t="s">
        <v>230</v>
      </c>
      <c r="N31" t="s">
        <v>156</v>
      </c>
    </row>
    <row r="32" spans="1:14" x14ac:dyDescent="0.25">
      <c r="A32" t="s">
        <v>157</v>
      </c>
      <c r="B32" s="6" t="s">
        <v>17</v>
      </c>
      <c r="C32" t="s">
        <v>158</v>
      </c>
      <c r="D32" t="s">
        <v>159</v>
      </c>
      <c r="E32" t="s">
        <v>36</v>
      </c>
      <c r="F32" t="s">
        <v>21</v>
      </c>
      <c r="G32" t="s">
        <v>22</v>
      </c>
      <c r="H32" t="s">
        <v>31</v>
      </c>
      <c r="I32" t="s">
        <v>24</v>
      </c>
      <c r="J32">
        <v>6.96</v>
      </c>
      <c r="K32" t="s">
        <v>62</v>
      </c>
      <c r="L32">
        <v>52490</v>
      </c>
      <c r="M32" t="s">
        <v>231</v>
      </c>
      <c r="N32" t="s">
        <v>160</v>
      </c>
    </row>
    <row r="33" spans="1:14" x14ac:dyDescent="0.25">
      <c r="A33" t="s">
        <v>161</v>
      </c>
      <c r="B33" s="6" t="s">
        <v>85</v>
      </c>
      <c r="C33" t="s">
        <v>162</v>
      </c>
      <c r="D33" t="s">
        <v>89</v>
      </c>
      <c r="E33" t="s">
        <v>30</v>
      </c>
      <c r="F33" t="s">
        <v>21</v>
      </c>
      <c r="G33" t="s">
        <v>22</v>
      </c>
      <c r="H33" t="s">
        <v>73</v>
      </c>
      <c r="I33" t="s">
        <v>24</v>
      </c>
      <c r="J33">
        <v>6.96</v>
      </c>
      <c r="K33" t="s">
        <v>32</v>
      </c>
      <c r="M33" t="s">
        <v>218</v>
      </c>
      <c r="N33" t="s">
        <v>91</v>
      </c>
    </row>
    <row r="34" spans="1:14" x14ac:dyDescent="0.25">
      <c r="A34" t="s">
        <v>163</v>
      </c>
      <c r="B34" s="6" t="s">
        <v>85</v>
      </c>
      <c r="C34" t="s">
        <v>164</v>
      </c>
      <c r="D34" t="s">
        <v>165</v>
      </c>
      <c r="E34" t="s">
        <v>30</v>
      </c>
      <c r="F34" t="s">
        <v>21</v>
      </c>
      <c r="G34" t="s">
        <v>22</v>
      </c>
      <c r="H34" t="s">
        <v>17</v>
      </c>
      <c r="I34" t="s">
        <v>24</v>
      </c>
      <c r="J34">
        <v>6.96</v>
      </c>
      <c r="K34" t="s">
        <v>32</v>
      </c>
      <c r="L34">
        <v>52458</v>
      </c>
      <c r="M34" t="s">
        <v>232</v>
      </c>
      <c r="N34" t="s">
        <v>166</v>
      </c>
    </row>
    <row r="35" spans="1:14" x14ac:dyDescent="0.25">
      <c r="A35" t="s">
        <v>167</v>
      </c>
      <c r="B35" s="6" t="s">
        <v>85</v>
      </c>
      <c r="C35" t="s">
        <v>168</v>
      </c>
      <c r="D35" t="s">
        <v>169</v>
      </c>
      <c r="E35" t="s">
        <v>30</v>
      </c>
      <c r="F35" t="s">
        <v>21</v>
      </c>
      <c r="G35" t="s">
        <v>22</v>
      </c>
      <c r="H35" t="s">
        <v>73</v>
      </c>
      <c r="I35" t="s">
        <v>24</v>
      </c>
      <c r="J35">
        <v>6.96</v>
      </c>
      <c r="K35" t="s">
        <v>32</v>
      </c>
      <c r="L35">
        <v>52457</v>
      </c>
      <c r="M35" t="s">
        <v>233</v>
      </c>
      <c r="N35" t="s">
        <v>170</v>
      </c>
    </row>
    <row r="36" spans="1:14" x14ac:dyDescent="0.25">
      <c r="A36" t="s">
        <v>171</v>
      </c>
      <c r="B36" s="6" t="s">
        <v>85</v>
      </c>
      <c r="C36" t="s">
        <v>172</v>
      </c>
      <c r="D36" t="s">
        <v>173</v>
      </c>
      <c r="E36" t="s">
        <v>30</v>
      </c>
      <c r="F36" t="s">
        <v>21</v>
      </c>
      <c r="G36" t="s">
        <v>22</v>
      </c>
      <c r="H36" t="s">
        <v>174</v>
      </c>
      <c r="I36" t="s">
        <v>24</v>
      </c>
      <c r="J36">
        <v>6.96</v>
      </c>
      <c r="K36" t="s">
        <v>175</v>
      </c>
      <c r="M36" t="s">
        <v>234</v>
      </c>
      <c r="N36" t="s">
        <v>176</v>
      </c>
    </row>
    <row r="37" spans="1:14" x14ac:dyDescent="0.25">
      <c r="A37" t="s">
        <v>177</v>
      </c>
      <c r="B37" s="6" t="s">
        <v>85</v>
      </c>
      <c r="C37" t="s">
        <v>178</v>
      </c>
      <c r="D37" t="s">
        <v>89</v>
      </c>
      <c r="E37" t="s">
        <v>179</v>
      </c>
      <c r="F37" t="s">
        <v>21</v>
      </c>
      <c r="G37" t="s">
        <v>22</v>
      </c>
      <c r="H37" t="s">
        <v>73</v>
      </c>
      <c r="I37" t="s">
        <v>24</v>
      </c>
      <c r="J37">
        <v>6.96</v>
      </c>
      <c r="K37" t="s">
        <v>32</v>
      </c>
      <c r="M37" t="s">
        <v>218</v>
      </c>
      <c r="N37" t="s">
        <v>91</v>
      </c>
    </row>
    <row r="38" spans="1:14" x14ac:dyDescent="0.25">
      <c r="A38" t="s">
        <v>180</v>
      </c>
      <c r="B38" s="6" t="s">
        <v>17</v>
      </c>
      <c r="C38" t="s">
        <v>181</v>
      </c>
      <c r="D38" t="s">
        <v>182</v>
      </c>
      <c r="E38" t="s">
        <v>30</v>
      </c>
      <c r="F38" t="s">
        <v>21</v>
      </c>
      <c r="G38" t="s">
        <v>22</v>
      </c>
      <c r="H38" t="s">
        <v>183</v>
      </c>
      <c r="I38" t="s">
        <v>24</v>
      </c>
      <c r="J38">
        <v>6.96</v>
      </c>
      <c r="K38" t="s">
        <v>184</v>
      </c>
      <c r="M38" t="s">
        <v>235</v>
      </c>
      <c r="N38" t="s">
        <v>185</v>
      </c>
    </row>
    <row r="39" spans="1:14" x14ac:dyDescent="0.25">
      <c r="A39" t="s">
        <v>186</v>
      </c>
      <c r="B39" s="6" t="s">
        <v>17</v>
      </c>
      <c r="C39" t="s">
        <v>187</v>
      </c>
      <c r="D39" t="s">
        <v>188</v>
      </c>
      <c r="E39" t="s">
        <v>36</v>
      </c>
      <c r="F39" t="s">
        <v>21</v>
      </c>
      <c r="G39" t="s">
        <v>22</v>
      </c>
      <c r="H39" t="s">
        <v>189</v>
      </c>
      <c r="I39" t="s">
        <v>24</v>
      </c>
      <c r="J39">
        <v>6.96</v>
      </c>
      <c r="K39" t="s">
        <v>190</v>
      </c>
      <c r="M39" t="s">
        <v>236</v>
      </c>
      <c r="N39" t="s">
        <v>191</v>
      </c>
    </row>
    <row r="40" spans="1:14" x14ac:dyDescent="0.25">
      <c r="A40" t="s">
        <v>192</v>
      </c>
      <c r="B40" s="6" t="s">
        <v>85</v>
      </c>
      <c r="C40" t="s">
        <v>193</v>
      </c>
      <c r="D40" t="s">
        <v>194</v>
      </c>
      <c r="E40" t="s">
        <v>30</v>
      </c>
      <c r="F40" t="s">
        <v>21</v>
      </c>
      <c r="G40" t="s">
        <v>22</v>
      </c>
      <c r="H40" t="s">
        <v>189</v>
      </c>
      <c r="I40" t="s">
        <v>24</v>
      </c>
      <c r="J40">
        <v>6.96</v>
      </c>
      <c r="K40" t="s">
        <v>195</v>
      </c>
      <c r="M40" t="s">
        <v>237</v>
      </c>
      <c r="N40" t="s">
        <v>196</v>
      </c>
    </row>
    <row r="41" spans="1:14" x14ac:dyDescent="0.25">
      <c r="A41" t="s">
        <v>197</v>
      </c>
      <c r="B41" s="6" t="s">
        <v>85</v>
      </c>
      <c r="C41" t="s">
        <v>198</v>
      </c>
      <c r="D41" t="s">
        <v>199</v>
      </c>
      <c r="E41" t="s">
        <v>30</v>
      </c>
      <c r="F41" t="s">
        <v>21</v>
      </c>
      <c r="G41" t="s">
        <v>22</v>
      </c>
      <c r="H41" t="s">
        <v>17</v>
      </c>
      <c r="I41" t="s">
        <v>24</v>
      </c>
      <c r="J41">
        <v>6.96</v>
      </c>
      <c r="K41" t="s">
        <v>143</v>
      </c>
      <c r="L41">
        <v>52459</v>
      </c>
      <c r="M41" t="s">
        <v>238</v>
      </c>
      <c r="N41" t="s">
        <v>200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Worksheet</vt:lpstr>
      <vt:lpstr>fe_2020SEPTIEMBRE</vt:lpstr>
    </vt:vector>
  </TitlesOfParts>
  <Manager/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cgi</cp:lastModifiedBy>
  <dcterms:created xsi:type="dcterms:W3CDTF">2020-09-02T19:43:42Z</dcterms:created>
  <dcterms:modified xsi:type="dcterms:W3CDTF">2020-09-28T01:24:47Z</dcterms:modified>
  <cp:category/>
</cp:coreProperties>
</file>